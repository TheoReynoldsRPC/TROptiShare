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ynoldsTheo\Documents\Old desktop\Optimiser\Model - Aon v7\0 PreProcessing\"/>
    </mc:Choice>
  </mc:AlternateContent>
  <xr:revisionPtr revIDLastSave="0" documentId="13_ncr:1_{6F70B1CF-3A98-444F-BDD2-89E764A35340}" xr6:coauthVersionLast="47" xr6:coauthVersionMax="47" xr10:uidLastSave="{00000000-0000-0000-0000-000000000000}"/>
  <bookViews>
    <workbookView xWindow="-120" yWindow="-120" windowWidth="38640" windowHeight="21390" tabRatio="833" firstSheet="1" activeTab="1" xr2:uid="{00000000-000D-0000-FFFF-FFFF00000000}"/>
  </bookViews>
  <sheets>
    <sheet name="Lookups" sheetId="16" state="hidden" r:id="rId1"/>
    <sheet name="RUN" sheetId="2" r:id="rId2"/>
    <sheet name="Presimulated Inputs" sheetId="11" state="hidden" r:id="rId3"/>
    <sheet name="Presimulated Aggregate Classes" sheetId="12" state="hidden" r:id="rId4"/>
    <sheet name="YieldCurve" sheetId="14" r:id="rId5"/>
    <sheet name="PaymentPattern" sheetId="13" r:id="rId6"/>
    <sheet name="NonCat_Input List" sheetId="7" r:id="rId7"/>
    <sheet name="NonCat_MarketCorrelation" sheetId="8" r:id="rId8"/>
    <sheet name="Cat_YET List" sheetId="6" r:id="rId9"/>
    <sheet name="Cat_AIR Frequency List" sheetId="9" r:id="rId10"/>
    <sheet name="Cat_RMS Frequency List" sheetId="10" r:id="rId11"/>
    <sheet name="Cat_AIR Severity List" sheetId="3" r:id="rId12"/>
    <sheet name="Cat_RMS Severity List" sheetId="5" r:id="rId13"/>
    <sheet name="Plan" sheetId="15" state="hidden" r:id="rId14"/>
  </sheets>
  <definedNames>
    <definedName name="AIRFrequencyInputs" localSheetId="9">'Cat_AIR Frequency List'!$B$5:$P$104</definedName>
    <definedName name="AIRSeverityInputs">'Cat_AIR Severity List'!$B$5:$P$16</definedName>
    <definedName name="BasisPeriod">Lookups!$B$2:$B$3</definedName>
    <definedName name="CatLoss_PaymentPattern">PaymentPattern!$B$47:$Q$57</definedName>
    <definedName name="CatRIP_PaymentPattern">PaymentPattern!$B$104:$Q$114</definedName>
    <definedName name="Commission_PaymentPattern">PaymentPattern!$B$161:$Q$202</definedName>
    <definedName name="FilePathNames">'Presimulated Inputs'!$B$2:$C$3</definedName>
    <definedName name="FixedExp_PaymentPattern">PaymentPattern!$B$205:$Q$246</definedName>
    <definedName name="InwardsMethod">RUN!$C$8</definedName>
    <definedName name="LoBMapping">'Presimulated Aggregate Classes'!$B$2:$C$20</definedName>
    <definedName name="ModellingUnit">RUN!$C$5</definedName>
    <definedName name="NonCatInputs">'NonCat_Input List'!$B$2:$C$3</definedName>
    <definedName name="NonCatLoss_PaymentPattern">PaymentPattern!$B$3:$Q$44</definedName>
    <definedName name="NonCatMarketCorrelationLowerTriangle">NonCat_MarketCorrelation!$B$2:$R$18</definedName>
    <definedName name="NonCatRIP_PaymentPattern">PaymentPattern!$B$60:$Q$101</definedName>
    <definedName name="NumSims">RUN!$C$3</definedName>
    <definedName name="OutputFilepath">RUN!$C$4</definedName>
    <definedName name="PlanForScaling">Plan!$B$2:$L$20</definedName>
    <definedName name="Premium_PaymentPattern">PaymentPattern!$B$117:$Q$158</definedName>
    <definedName name="RMSFrequencyInputs" localSheetId="10">'Cat_RMS Frequency List'!$B$5:$P$107</definedName>
    <definedName name="RMSSeverityInputs">'Cat_RMS Severity List'!$B$5:$P$12</definedName>
    <definedName name="ScaleToPlan">'Presimulated Inputs'!$C$5</definedName>
    <definedName name="YearSelection">RUN!$B$11:$C$12</definedName>
    <definedName name="YETInputs">'Cat_YET List'!$B$2:$E$16</definedName>
    <definedName name="YieldCurve">YieldCurve!$B$3:$Q$44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245" i="13" l="1"/>
  <c r="G244" i="13"/>
  <c r="G239" i="13"/>
  <c r="G238" i="13"/>
  <c r="G230" i="13"/>
  <c r="G218" i="13"/>
  <c r="G217" i="13"/>
  <c r="G216" i="13"/>
  <c r="G201" i="13"/>
  <c r="G200" i="13"/>
  <c r="G195" i="13"/>
  <c r="G194" i="13"/>
  <c r="G186" i="13"/>
  <c r="G174" i="13"/>
  <c r="G173" i="13"/>
  <c r="G172" i="13"/>
  <c r="G157" i="13"/>
  <c r="G156" i="13"/>
  <c r="G151" i="13"/>
  <c r="G150" i="13"/>
  <c r="G142" i="13"/>
  <c r="G130" i="13"/>
  <c r="G129" i="13"/>
  <c r="G128" i="13"/>
  <c r="G100" i="13"/>
  <c r="G99" i="13"/>
  <c r="G94" i="13"/>
  <c r="G93" i="13"/>
  <c r="G85" i="13"/>
  <c r="G73" i="13"/>
  <c r="G72" i="13"/>
  <c r="G71" i="13"/>
  <c r="G43" i="13" l="1"/>
  <c r="G42" i="13"/>
  <c r="G37" i="13"/>
  <c r="G36" i="13"/>
  <c r="G28" i="13"/>
  <c r="G16" i="13"/>
  <c r="G14" i="13"/>
  <c r="G15" i="13"/>
  <c r="C2" i="5" l="1" a="1"/>
  <c r="C2" i="5" s="1"/>
  <c r="C5" i="5" a="1"/>
  <c r="C5" i="5" s="1"/>
  <c r="C2" i="3" a="1"/>
  <c r="C2" i="3" s="1"/>
  <c r="C5" i="3" a="1"/>
  <c r="C5" i="3" s="1"/>
  <c r="C2" i="10" a="1"/>
  <c r="D2" i="10" s="1"/>
  <c r="C5" i="10" a="1"/>
  <c r="C5" i="10" s="1"/>
  <c r="C2" i="9" a="1"/>
  <c r="C2" i="9" s="1"/>
  <c r="C5" i="9" a="1"/>
  <c r="C5" i="9" s="1"/>
  <c r="C3" i="7"/>
  <c r="C9" i="5" l="1"/>
  <c r="C7" i="5"/>
  <c r="C6" i="5"/>
  <c r="C10" i="5"/>
  <c r="C8" i="5"/>
  <c r="J2" i="5"/>
  <c r="I2" i="5"/>
  <c r="P2" i="5"/>
  <c r="H2" i="5"/>
  <c r="O2" i="5"/>
  <c r="G2" i="5"/>
  <c r="N2" i="5"/>
  <c r="F2" i="5"/>
  <c r="M2" i="5"/>
  <c r="E2" i="5"/>
  <c r="L2" i="5"/>
  <c r="D2" i="5"/>
  <c r="K2" i="5"/>
  <c r="J5" i="5"/>
  <c r="I5" i="5"/>
  <c r="P5" i="5"/>
  <c r="H5" i="5"/>
  <c r="O5" i="5"/>
  <c r="G5" i="5"/>
  <c r="N5" i="5"/>
  <c r="F5" i="5"/>
  <c r="M5" i="5"/>
  <c r="E5" i="5"/>
  <c r="L5" i="5"/>
  <c r="D5" i="5"/>
  <c r="K5" i="5"/>
  <c r="J2" i="3"/>
  <c r="H2" i="3"/>
  <c r="N2" i="3"/>
  <c r="M2" i="3"/>
  <c r="E2" i="3"/>
  <c r="I2" i="3"/>
  <c r="O2" i="3"/>
  <c r="L2" i="3"/>
  <c r="D2" i="3"/>
  <c r="P2" i="3"/>
  <c r="G2" i="3"/>
  <c r="F2" i="3"/>
  <c r="K2" i="3"/>
  <c r="J5" i="3"/>
  <c r="I5" i="3"/>
  <c r="P5" i="3"/>
  <c r="H5" i="3"/>
  <c r="O5" i="3"/>
  <c r="G5" i="3"/>
  <c r="N5" i="3"/>
  <c r="F5" i="3"/>
  <c r="M5" i="3"/>
  <c r="E5" i="3"/>
  <c r="L5" i="3"/>
  <c r="D5" i="3"/>
  <c r="K5" i="3"/>
  <c r="K2" i="10"/>
  <c r="C2" i="10"/>
  <c r="J2" i="10"/>
  <c r="I2" i="10"/>
  <c r="P2" i="10"/>
  <c r="H2" i="10"/>
  <c r="O2" i="10"/>
  <c r="G2" i="10"/>
  <c r="N2" i="10"/>
  <c r="F2" i="10"/>
  <c r="M2" i="10"/>
  <c r="E2" i="10"/>
  <c r="L2" i="10"/>
  <c r="P5" i="10"/>
  <c r="J5" i="10"/>
  <c r="I5" i="10"/>
  <c r="H5" i="10"/>
  <c r="O5" i="10"/>
  <c r="G5" i="10"/>
  <c r="N5" i="10"/>
  <c r="F5" i="10"/>
  <c r="M5" i="10"/>
  <c r="E5" i="10"/>
  <c r="L5" i="10"/>
  <c r="D5" i="10"/>
  <c r="K5" i="10"/>
  <c r="J2" i="9"/>
  <c r="I2" i="9"/>
  <c r="P2" i="9"/>
  <c r="H2" i="9"/>
  <c r="O2" i="9"/>
  <c r="G2" i="9"/>
  <c r="N2" i="9"/>
  <c r="F2" i="9"/>
  <c r="M2" i="9"/>
  <c r="E2" i="9"/>
  <c r="L2" i="9"/>
  <c r="D2" i="9"/>
  <c r="K2" i="9"/>
  <c r="J5" i="9"/>
  <c r="I5" i="9"/>
  <c r="H5" i="9"/>
  <c r="G5" i="9"/>
  <c r="F5" i="9"/>
  <c r="E5" i="9"/>
  <c r="L5" i="9"/>
  <c r="D5" i="9"/>
  <c r="P5" i="9"/>
  <c r="O5" i="9"/>
  <c r="N5" i="9"/>
  <c r="M5" i="9"/>
  <c r="K5" i="9"/>
  <c r="K8" i="5" l="1"/>
  <c r="K10" i="5"/>
  <c r="K7" i="5"/>
  <c r="K6" i="5"/>
  <c r="K9" i="5"/>
  <c r="I6" i="5"/>
  <c r="I8" i="5"/>
  <c r="I10" i="5"/>
  <c r="I7" i="5"/>
  <c r="I9" i="5"/>
  <c r="G10" i="5"/>
  <c r="G6" i="5"/>
  <c r="G8" i="5"/>
  <c r="G7" i="5"/>
  <c r="G9" i="5"/>
  <c r="J8" i="5"/>
  <c r="J10" i="5"/>
  <c r="J6" i="5"/>
  <c r="J9" i="5"/>
  <c r="J7" i="5"/>
  <c r="L10" i="5"/>
  <c r="L7" i="5"/>
  <c r="L6" i="5"/>
  <c r="L9" i="5"/>
  <c r="L8" i="5"/>
  <c r="E6" i="5"/>
  <c r="E8" i="5"/>
  <c r="E10" i="5"/>
  <c r="E7" i="5"/>
  <c r="E9" i="5"/>
  <c r="F10" i="5"/>
  <c r="F6" i="5"/>
  <c r="F8" i="5"/>
  <c r="F7" i="5"/>
  <c r="F9" i="5"/>
  <c r="H8" i="5"/>
  <c r="H10" i="5"/>
  <c r="H6" i="5"/>
  <c r="H7" i="5"/>
  <c r="H9" i="5"/>
  <c r="D10" i="5"/>
  <c r="D6" i="5"/>
  <c r="D8" i="5"/>
  <c r="D7" i="5"/>
  <c r="D9" i="5"/>
  <c r="B7" i="9"/>
  <c r="B8" i="9" s="1"/>
  <c r="B9" i="9" s="1"/>
  <c r="B10" i="9" s="1"/>
  <c r="B11" i="9" s="1"/>
  <c r="B12" i="9" s="1"/>
  <c r="B13" i="9" s="1"/>
  <c r="B14" i="9" s="1"/>
  <c r="B15" i="9" s="1"/>
  <c r="B16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Reynolds, Theo - RPC Consulting</author>
  </authors>
  <commentList>
    <comment ref="B3" authorId="0" shapeId="0" xr:uid="{00000000-0006-0000-0400-000001000000}">
      <text>
        <r>
          <rPr>
            <sz val="9"/>
            <color indexed="81"/>
            <rFont val="Tahoma"/>
            <family val="2"/>
          </rPr>
          <t>For presimulated data, this is the capital modelling lob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Reynolds, Theo - RPC Consulting</author>
  </authors>
  <commentList>
    <comment ref="L2" authorId="0" shapeId="0" xr:uid="{00000000-0006-0000-0D00-000001000000}">
      <text>
        <r>
          <rPr>
            <b/>
            <sz val="9"/>
            <color indexed="81"/>
            <rFont val="Tahoma"/>
            <family val="2"/>
          </rPr>
          <t>Fixed Expenses as opposed to Acquisition Costs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<sst xmlns="http://schemas.openxmlformats.org/spreadsheetml/2006/main" count="595" uniqueCount="161">
  <si>
    <t>Number of Simulations</t>
  </si>
  <si>
    <t>Blend % (AIR)</t>
  </si>
  <si>
    <t>AIR Input Max Scenario</t>
  </si>
  <si>
    <t>Source</t>
  </si>
  <si>
    <t>Cedant</t>
  </si>
  <si>
    <t>Cedant1</t>
  </si>
  <si>
    <t>Cedant2</t>
  </si>
  <si>
    <t>Cedant3</t>
  </si>
  <si>
    <t>Cedant4</t>
  </si>
  <si>
    <t>Cedant5</t>
  </si>
  <si>
    <t>RMS SU Switch</t>
  </si>
  <si>
    <t>Output Filepath</t>
  </si>
  <si>
    <t>Modelling Unit</t>
  </si>
  <si>
    <t>Cedant103</t>
  </si>
  <si>
    <t>Cedant105</t>
  </si>
  <si>
    <t>Parameterisation Source</t>
  </si>
  <si>
    <t>LoB</t>
  </si>
  <si>
    <t>Raw Data\Additional Cat\WC_EQ.1_Sev.eld</t>
  </si>
  <si>
    <t>Raw Data\Additional Cat\WC_EQ.2_Sev.eld</t>
  </si>
  <si>
    <t>Raw Data\Additional Cat\NonstandardAuto_HU_Sev.eld</t>
  </si>
  <si>
    <t>Raw Data\Additional Cat\NonstandardAuto_SCS_Sev.eld</t>
  </si>
  <si>
    <t>Table</t>
  </si>
  <si>
    <t>Cedant101</t>
  </si>
  <si>
    <t>Businessowners_Liability</t>
  </si>
  <si>
    <t>Businessowners_Property</t>
  </si>
  <si>
    <t>CommercialPackage_Liability</t>
  </si>
  <si>
    <t>CommercialPackage_Property</t>
  </si>
  <si>
    <t>CT_Liability</t>
  </si>
  <si>
    <t>CT_Property</t>
  </si>
  <si>
    <t>CommercialUmbrella</t>
  </si>
  <si>
    <t>CommercialAuto</t>
  </si>
  <si>
    <t>Farmowners_Property</t>
  </si>
  <si>
    <t>Homeowners/Farmowners_Umbrella</t>
  </si>
  <si>
    <t>Homeowners/Farmowners_Liability</t>
  </si>
  <si>
    <t>Homeowners/Farmowners_Property</t>
  </si>
  <si>
    <t>Other_Liability</t>
  </si>
  <si>
    <t>Other_Property</t>
  </si>
  <si>
    <t>Personal Auto</t>
  </si>
  <si>
    <t>WorkComp</t>
  </si>
  <si>
    <t>CommercialAutoLiability</t>
  </si>
  <si>
    <t>CommercialProperty</t>
  </si>
  <si>
    <t>GeneralLiability</t>
  </si>
  <si>
    <t>HomeownersProperty</t>
  </si>
  <si>
    <t>PersonalAutoLiability</t>
  </si>
  <si>
    <t>D&amp;O SideA</t>
  </si>
  <si>
    <t>D&amp;O SideB&amp;C</t>
  </si>
  <si>
    <t>E&amp;O</t>
  </si>
  <si>
    <t>NonstandardAutoQS</t>
  </si>
  <si>
    <t>PersonalUmbrella</t>
  </si>
  <si>
    <t>EQ.RMS.ELD.2</t>
  </si>
  <si>
    <t>EQ.RMS.ELD.4</t>
  </si>
  <si>
    <t>EQFF.RMS.ELD</t>
  </si>
  <si>
    <t>HULT.RMS.ELD</t>
  </si>
  <si>
    <t>HULT.RMS.ELD.3</t>
  </si>
  <si>
    <t>HULT.RMS.ELD.4</t>
  </si>
  <si>
    <t>SCS.RMS.ELD</t>
  </si>
  <si>
    <t>SCS.RMS.ELD.2</t>
  </si>
  <si>
    <t>SCS.RMS.ELD.3</t>
  </si>
  <si>
    <t>SCS.RMS.ELD.4</t>
  </si>
  <si>
    <t>NonStandardAuto_HU</t>
  </si>
  <si>
    <t>NonStandardAuto_SCS</t>
  </si>
  <si>
    <t>WC_EQ.1</t>
  </si>
  <si>
    <t>WC_EQ.2</t>
  </si>
  <si>
    <t>Yes</t>
  </si>
  <si>
    <t>Raw Data\EQ.RMS.ELD.2\Rates\EQ.RMS.ELD.2.txt</t>
  </si>
  <si>
    <t>Raw Data\EQ.RMS.ELD.4\Rates\EQ.RMS.ELD.4.txt</t>
  </si>
  <si>
    <t>Raw Data\EQFF.RMS.ELD\Rates\EQFF.RMS.ELD.txt</t>
  </si>
  <si>
    <t>Raw Data\HULT.RMS.ELD\Rates\HULT.RMS.ELD.txt</t>
  </si>
  <si>
    <t>Raw Data\HULT.RMS.ELD.3\Rates\HULT.RMS.ELD.3.txt</t>
  </si>
  <si>
    <t>Raw Data\HULT.RMS.ELD.4\Rates\HULT.RMS.ELD.4.txt</t>
  </si>
  <si>
    <t>Raw Data\SCS.RMS.ELD\Rates\SCS.RMS.ELD.txt</t>
  </si>
  <si>
    <t>Raw Data\SCS.RMS.ELD.2\Rates\SCS.RMS.ELD.2.txt</t>
  </si>
  <si>
    <t>Raw Data\SCS.RMS.ELD.3\Rates\SCS.RMS.ELD.3.txt</t>
  </si>
  <si>
    <t>Raw Data\SCS.RMS.ELD.4\Rates\SCS.RMS.ELD.4.txt</t>
  </si>
  <si>
    <t>Raw Data\Additional Cat\NonstandardAuto_HU_Freq.eld</t>
  </si>
  <si>
    <t>Raw Data\Additional Cat\NonstandardAuto_SCS_Freq.eld</t>
  </si>
  <si>
    <t>Raw Data\Additional Cat\WC_EQ.1_Freq.eld</t>
  </si>
  <si>
    <t>Raw Data\Additional Cat\WC_EQ.2_Freq.eld</t>
  </si>
  <si>
    <t>Inwards Method</t>
  </si>
  <si>
    <t>Item</t>
  </si>
  <si>
    <t>Filename</t>
  </si>
  <si>
    <t>Scale To Plan?</t>
  </si>
  <si>
    <t>Year 1</t>
  </si>
  <si>
    <t>Year 2</t>
  </si>
  <si>
    <t>Year 3</t>
  </si>
  <si>
    <t>Year 4</t>
  </si>
  <si>
    <t>Year 5</t>
  </si>
  <si>
    <t>Year 6</t>
  </si>
  <si>
    <t>Year 7</t>
  </si>
  <si>
    <t>Year 8</t>
  </si>
  <si>
    <t>Year 9</t>
  </si>
  <si>
    <t>Year 10</t>
  </si>
  <si>
    <t>Year 11</t>
  </si>
  <si>
    <t>Year 12</t>
  </si>
  <si>
    <t>Year 13</t>
  </si>
  <si>
    <t>Year 14</t>
  </si>
  <si>
    <t>Year 15</t>
  </si>
  <si>
    <t>Portfolio.1</t>
  </si>
  <si>
    <t>Portfolio4.1</t>
  </si>
  <si>
    <t>Portfolio4.2</t>
  </si>
  <si>
    <t>Portfolio1.1</t>
  </si>
  <si>
    <t>Portfolio1.2</t>
  </si>
  <si>
    <t>Portfolio.2</t>
  </si>
  <si>
    <t>Portfolio3.1</t>
  </si>
  <si>
    <t>Portfolio4.3</t>
  </si>
  <si>
    <t>Portfolio4.4</t>
  </si>
  <si>
    <t>Portfolio2.1</t>
  </si>
  <si>
    <t>NonstandardAuto.1</t>
  </si>
  <si>
    <t>NonstandardAuto.2</t>
  </si>
  <si>
    <t>EQ_1_Peak</t>
  </si>
  <si>
    <t>EQ_1_Random</t>
  </si>
  <si>
    <t>EQ_2_Random</t>
  </si>
  <si>
    <t>NonCat Loss</t>
  </si>
  <si>
    <t>Cat Loss</t>
  </si>
  <si>
    <t>NonCat RIP</t>
  </si>
  <si>
    <t>Cat RIP</t>
  </si>
  <si>
    <t>Premium</t>
  </si>
  <si>
    <t>Fixed Expenses</t>
  </si>
  <si>
    <t>Commissions</t>
  </si>
  <si>
    <t>Cashflows</t>
  </si>
  <si>
    <t>Year Selection</t>
  </si>
  <si>
    <t>Basis</t>
  </si>
  <si>
    <t>Underwriting Year</t>
  </si>
  <si>
    <t>Capital Modelling LoB</t>
  </si>
  <si>
    <t>.\Presimulated Data\Cashflows.tyc</t>
  </si>
  <si>
    <t>Gross Losses - Cat</t>
  </si>
  <si>
    <t>Gross Losses - NonCat</t>
  </si>
  <si>
    <t>RI Share of Gross Losses - Cat</t>
  </si>
  <si>
    <t>RI Share of Gross Losses - NonCat</t>
  </si>
  <si>
    <t>Gross Gross Written Premium</t>
  </si>
  <si>
    <t>Net Gross Written Premium</t>
  </si>
  <si>
    <t>Reinstatement Premium</t>
  </si>
  <si>
    <t>Acquisition Costs</t>
  </si>
  <si>
    <t>RI Share of the Acquisition Costs</t>
  </si>
  <si>
    <t>Total Expenses</t>
  </si>
  <si>
    <t>No</t>
  </si>
  <si>
    <t>Property D&amp;F</t>
  </si>
  <si>
    <t>Property CAT</t>
  </si>
  <si>
    <t>Professional Indemnity</t>
  </si>
  <si>
    <t>General Liability</t>
  </si>
  <si>
    <t>Motor Liability</t>
  </si>
  <si>
    <t>Directors &amp; Officers</t>
  </si>
  <si>
    <t>Marine</t>
  </si>
  <si>
    <t>Aviation XL</t>
  </si>
  <si>
    <t>Financial Institutions</t>
  </si>
  <si>
    <t>InternalRI_BERM_Property D&amp;F</t>
  </si>
  <si>
    <t>InternalRI_BERM_Property CAT</t>
  </si>
  <si>
    <t>InternalRI_BERM_Professional Indemnity</t>
  </si>
  <si>
    <t>InternalRI_BERM_General Liability</t>
  </si>
  <si>
    <t>InternalRI_BERM_Motor Liability</t>
  </si>
  <si>
    <t>InternalRI_BERM_Directors &amp; Officers</t>
  </si>
  <si>
    <t>InternalRI_BERM_Marine</t>
  </si>
  <si>
    <t>InternalRI_BERM_Aviation XL</t>
  </si>
  <si>
    <t>InternalRI_BERM_Financial Institutions</t>
  </si>
  <si>
    <t>ApplyInwards</t>
  </si>
  <si>
    <t>Cedants.tyc</t>
  </si>
  <si>
    <t>Accident Year</t>
  </si>
  <si>
    <t>Modelled Year</t>
  </si>
  <si>
    <t>Note that number of simulations is set here, not in the model</t>
  </si>
  <si>
    <t>Not currently used</t>
  </si>
  <si>
    <t>When extending this list, also extend the named 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</si>
</sst>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64" formatCode="_(* #,##0.00_);_(* \(#,##0.00\);_(* &quot;-&quot;??_);_(@_)"/>
    <numFmt numFmtId="165" formatCode="_-* #,##0_-;\-* #,##0_-;_-* &quot;-&quot;??_-;_-@_-"/>
    <numFmt numFmtId="166" formatCode="0.0%"/>
    <numFmt numFmtId="167" formatCode="0.00000_ ;\-0.00000\ 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3713187047945"/>
        <bgColor auto="1"/>
      </patternFill>
    </fill>
    <fill>
      <patternFill patternType="solid">
        <fgColor theme="1" tint="0.499984740745262"/>
        <bgColor auto="1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3713187047945"/>
        <bgColor auto="1"/>
      </patternFill>
    </fill>
    <fill>
      <patternFill patternType="solid">
        <fgColor theme="5" tint="0.59999389629810485"/>
        <bgColor auto="1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1" tint="0.499984740745262"/>
      </right>
      <top style="thin">
        <color theme="0" tint="-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0" tint="-0.499984740745262"/>
      </right>
      <top style="thin">
        <color theme="0" tint="-0.499984740745262"/>
      </top>
      <bottom style="thin">
        <color theme="1" tint="0.499984740745262"/>
      </bottom>
      <diagonal/>
    </border>
    <border>
      <left style="thin">
        <color theme="0" tint="-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0" tint="-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46">
    <xf numFmtId="0" fontId="0" fillId="0" borderId="0" xfId="0"/>
    <xf numFmtId="0" fontId="2" fillId="3" borderId="0" xfId="0" applyFont="1" applyFill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0" fillId="4" borderId="2" xfId="0" applyFill="1" applyBorder="1"/>
    <xf numFmtId="9" fontId="0" fillId="4" borderId="2" xfId="1" applyFont="1" applyFill="1" applyBorder="1" applyAlignment="1">
      <alignment horizontal="center"/>
    </xf>
    <xf numFmtId="0" fontId="0" fillId="2" borderId="2" xfId="0" applyFill="1" applyBorder="1"/>
    <xf numFmtId="0" fontId="0" fillId="0" borderId="3" xfId="0" applyBorder="1"/>
    <xf numFmtId="0" fontId="3" fillId="0" borderId="0" xfId="0" applyFont="1"/>
    <xf numFmtId="9" fontId="3" fillId="0" borderId="0" xfId="1" applyFont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3" fillId="5" borderId="4" xfId="0" applyFont="1" applyFill="1" applyBorder="1" applyAlignment="1">
      <alignment horizontal="center"/>
    </xf>
    <xf numFmtId="0" fontId="0" fillId="0" borderId="5" xfId="0" applyBorder="1"/>
    <xf numFmtId="0" fontId="0" fillId="0" borderId="0" xfId="0" applyAlignment="1">
      <alignment wrapText="1"/>
    </xf>
    <xf numFmtId="0" fontId="2" fillId="3" borderId="2" xfId="0" applyFont="1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/>
    </xf>
    <xf numFmtId="0" fontId="4" fillId="0" borderId="2" xfId="0" applyFont="1" applyBorder="1"/>
    <xf numFmtId="0" fontId="0" fillId="4" borderId="2" xfId="0" applyFill="1" applyBorder="1" applyAlignment="1">
      <alignment horizontal="left"/>
    </xf>
    <xf numFmtId="0" fontId="4" fillId="0" borderId="4" xfId="0" applyFont="1" applyBorder="1"/>
    <xf numFmtId="0" fontId="0" fillId="4" borderId="6" xfId="0" applyFill="1" applyBorder="1"/>
    <xf numFmtId="9" fontId="0" fillId="4" borderId="6" xfId="1" applyFont="1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5" fillId="7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5" fontId="0" fillId="0" borderId="1" xfId="2" applyNumberFormat="1" applyFont="1" applyBorder="1" applyAlignment="1">
      <alignment horizontal="center" vertical="center"/>
    </xf>
    <xf numFmtId="0" fontId="5" fillId="7" borderId="6" xfId="0" applyFont="1" applyFill="1" applyBorder="1" applyAlignment="1">
      <alignment horizontal="center" vertical="center"/>
    </xf>
    <xf numFmtId="0" fontId="0" fillId="6" borderId="4" xfId="1" applyNumberFormat="1" applyFont="1" applyFill="1" applyBorder="1" applyAlignment="1">
      <alignment horizontal="center" vertical="center"/>
    </xf>
    <xf numFmtId="0" fontId="0" fillId="8" borderId="2" xfId="1" applyNumberFormat="1" applyFont="1" applyFill="1" applyBorder="1" applyAlignment="1">
      <alignment horizontal="left" vertical="center"/>
    </xf>
    <xf numFmtId="0" fontId="5" fillId="7" borderId="8" xfId="0" applyFont="1" applyFill="1" applyBorder="1" applyAlignment="1">
      <alignment horizontal="center" vertical="center"/>
    </xf>
    <xf numFmtId="0" fontId="5" fillId="7" borderId="9" xfId="0" applyFont="1" applyFill="1" applyBorder="1" applyAlignment="1">
      <alignment horizontal="center" vertical="center"/>
    </xf>
    <xf numFmtId="166" fontId="0" fillId="10" borderId="10" xfId="1" applyNumberFormat="1" applyFont="1" applyFill="1" applyBorder="1" applyAlignment="1">
      <alignment horizontal="center" vertical="center"/>
    </xf>
    <xf numFmtId="0" fontId="0" fillId="0" borderId="11" xfId="0" applyBorder="1"/>
    <xf numFmtId="167" fontId="0" fillId="9" borderId="2" xfId="2" applyNumberFormat="1" applyFont="1" applyFill="1" applyBorder="1" applyAlignment="1">
      <alignment horizontal="center" vertical="center"/>
    </xf>
    <xf numFmtId="0" fontId="6" fillId="0" borderId="0" xfId="0" applyFont="1"/>
    <xf numFmtId="167" fontId="0" fillId="0" borderId="0" xfId="0" applyNumberFormat="1"/>
    <xf numFmtId="0" fontId="0" fillId="11" borderId="7" xfId="0" applyFont="1" applyFill="1" applyBorder="1" applyAlignment="1">
      <alignment horizontal="center" vertical="center"/>
    </xf>
    <xf numFmtId="0" fontId="0" fillId="0" borderId="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166" fontId="0" fillId="10" borderId="17" xfId="1" applyNumberFormat="1" applyFont="1" applyFill="1" applyBorder="1" applyAlignment="1">
      <alignment horizontal="center" vertical="center"/>
    </xf>
    <xf numFmtId="0" fontId="5" fillId="7" borderId="16" xfId="0" applyFont="1" applyFill="1" applyBorder="1" applyAlignment="1">
      <alignment horizontal="center" vertical="center" wrapText="1"/>
    </xf>
    <xf numFmtId="0" fontId="5" fillId="7" borderId="15" xfId="0" applyFont="1" applyFill="1" applyBorder="1" applyAlignment="1">
      <alignment horizontal="center" vertical="center" wrapText="1"/>
    </xf>
    <xf numFmtId="0" fontId="5" fillId="7" borderId="1" xfId="0" applyFont="1" applyFill="1" applyBorder="1" applyAlignment="1">
      <alignment horizontal="center" vertical="center" wrapText="1"/>
    </xf>
    <xf numFmtId="0" fontId="0" fillId="8" borderId="2" xfId="1" applyNumberFormat="1" applyFont="1" applyFill="1" applyBorder="1" applyAlignment="1">
      <alignment horizontal="center" vertical="center"/>
    </xf>
    <xf numFmtId="41" fontId="0" fillId="0" borderId="1" xfId="3" applyFont="1" applyBorder="1" applyAlignment="1">
      <alignment horizontal="center" vertical="center"/>
    </xf>
  </cellXfs>
  <cellStyles count="4">
    <cellStyle name="Comma" xfId="2" builtinId="3"/>
    <cellStyle name="Comma [0]" xfId="3" builtinId="6"/>
    <cellStyle name="Normal" xfId="0" builtinId="0"/>
    <cellStyle name="Percent" xfId="1" builtinId="5"/>
  </cellStyles>
  <dxfs count="16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2:B3"/>
  <sheetViews>
    <sheetView workbookViewId="0">
      <selection activeCell="B2" sqref="B2:B3"/>
    </sheetView>
  </sheetViews>
  <sheetFormatPr defaultRowHeight="15" x14ac:dyDescent="0.25"/>
  <sheetData>
    <row r="2" spans="2:2" x14ac:dyDescent="0.25">
      <c r="B2" t="s">
        <v>122</v>
      </c>
    </row>
    <row r="3" spans="2:2" x14ac:dyDescent="0.25">
      <c r="B3" t="s">
        <v>156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3:D12"/>
  <sheetViews>
    <sheetView showGridLines="0" tabSelected="1" workbookViewId="0">
      <selection activeCell="C5" sqref="C5"/>
    </sheetView>
  </sheetViews>
  <sheetFormatPr defaultRowHeight="15" x14ac:dyDescent="0.25"/>
  <cols>
    <col min="2" max="3" width="29.42578125" customWidth="1"/>
    <col min="4" max="4" width="26.5703125" customWidth="1"/>
    <col min="5" max="5" width="14.5703125" customWidth="1"/>
    <col min="6" max="6" width="46.85546875" bestFit="1" customWidth="1"/>
    <col min="7" max="7" width="14.140625" customWidth="1"/>
  </cols>
  <sheetData>
    <row r="3" spans="2:4" x14ac:dyDescent="0.25">
      <c r="B3" s="22" t="s">
        <v>0</v>
      </c>
      <c r="C3" s="45">
        <v>1000</v>
      </c>
      <c r="D3" s="7" t="s">
        <v>158</v>
      </c>
    </row>
    <row r="4" spans="2:4" x14ac:dyDescent="0.25">
      <c r="B4" s="22" t="s">
        <v>11</v>
      </c>
      <c r="C4" s="23" t="s">
        <v>155</v>
      </c>
    </row>
    <row r="5" spans="2:4" x14ac:dyDescent="0.25">
      <c r="B5" s="22" t="s">
        <v>12</v>
      </c>
      <c r="C5" s="24">
        <v>100000000</v>
      </c>
    </row>
    <row r="6" spans="2:4" ht="15" customHeight="1" x14ac:dyDescent="0.25"/>
    <row r="7" spans="2:4" s="13" customFormat="1" x14ac:dyDescent="0.25"/>
    <row r="8" spans="2:4" x14ac:dyDescent="0.25">
      <c r="B8" s="22" t="s">
        <v>78</v>
      </c>
      <c r="C8" s="35" t="s">
        <v>154</v>
      </c>
    </row>
    <row r="10" spans="2:4" hidden="1" x14ac:dyDescent="0.25">
      <c r="B10" s="22"/>
      <c r="C10" s="22" t="s">
        <v>120</v>
      </c>
      <c r="D10" s="7" t="s">
        <v>159</v>
      </c>
    </row>
    <row r="11" spans="2:4" hidden="1" x14ac:dyDescent="0.25">
      <c r="B11" s="26" t="s">
        <v>121</v>
      </c>
      <c r="C11" s="44" t="s">
        <v>122</v>
      </c>
    </row>
    <row r="12" spans="2:4" hidden="1" x14ac:dyDescent="0.25">
      <c r="B12" s="26" t="s">
        <v>157</v>
      </c>
      <c r="C12" s="44">
        <v>2022</v>
      </c>
    </row>
  </sheetData>
  <dataValidations count="3">
    <dataValidation type="list" allowBlank="1" showInputMessage="1" showErrorMessage="1" sqref="C8" xr:uid="{00000000-0002-0000-0100-000000000000}">
      <formula1>"ApplyInwards"</formula1>
    </dataValidation>
    <dataValidation type="list" allowBlank="1" showInputMessage="1" showErrorMessage="1" sqref="C11" xr:uid="{00000000-0002-0000-0100-000001000000}">
      <formula1>IF(InwardsMethod="Presimulated", BasisPeriod,"Underwriting Year")</formula1>
    </dataValidation>
    <dataValidation type="list" allowBlank="1" showInputMessage="1" showErrorMessage="1" sqref="E15" xr:uid="{00000000-0002-0000-0100-000002000000}">
      <formula1>test2</formula1>
    </dataValidation>
  </dataValidations>
  <pageMargins left="0.7" right="0.7" top="0.75" bottom="0.75" header="0.3" footer="0.3"/>
  <pageSetup paperSize="9"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B2:C5"/>
  <sheetViews>
    <sheetView showGridLines="0" workbookViewId="0">
      <selection activeCell="A5" sqref="A5:XFD5"/>
    </sheetView>
  </sheetViews>
  <sheetFormatPr defaultRowHeight="15" x14ac:dyDescent="0.25"/>
  <cols>
    <col min="2" max="2" width="16.5703125" customWidth="1"/>
    <col min="3" max="3" width="37.28515625" customWidth="1"/>
  </cols>
  <sheetData>
    <row r="2" spans="2:3" x14ac:dyDescent="0.25">
      <c r="B2" s="22" t="s">
        <v>79</v>
      </c>
      <c r="C2" s="25" t="s">
        <v>80</v>
      </c>
    </row>
    <row r="3" spans="2:3" x14ac:dyDescent="0.25">
      <c r="B3" s="26" t="s">
        <v>119</v>
      </c>
      <c r="C3" s="27" t="s">
        <v>124</v>
      </c>
    </row>
    <row r="5" spans="2:3" x14ac:dyDescent="0.25">
      <c r="B5" s="25" t="s">
        <v>81</v>
      </c>
      <c r="C5" s="44" t="s">
        <v>135</v>
      </c>
    </row>
  </sheetData>
  <dataValidations count="1">
    <dataValidation type="list" allowBlank="1" showInputMessage="1" showErrorMessage="1" sqref="C5" xr:uid="{00000000-0002-0000-0200-000000000000}">
      <formula1>"Yes,No"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B2:C20"/>
  <sheetViews>
    <sheetView showGridLines="0" workbookViewId="0">
      <selection activeCell="B2" sqref="B2"/>
    </sheetView>
  </sheetViews>
  <sheetFormatPr defaultRowHeight="15" x14ac:dyDescent="0.25"/>
  <cols>
    <col min="2" max="2" width="44.85546875" bestFit="1" customWidth="1"/>
    <col min="3" max="3" width="35.85546875" bestFit="1" customWidth="1"/>
  </cols>
  <sheetData>
    <row r="2" spans="2:3" x14ac:dyDescent="0.25">
      <c r="B2" s="28" t="s">
        <v>123</v>
      </c>
      <c r="C2" s="29" t="s">
        <v>16</v>
      </c>
    </row>
    <row r="3" spans="2:3" x14ac:dyDescent="0.25">
      <c r="B3" s="30" t="s">
        <v>136</v>
      </c>
      <c r="C3" s="31" t="s">
        <v>136</v>
      </c>
    </row>
    <row r="4" spans="2:3" x14ac:dyDescent="0.25">
      <c r="B4" s="30" t="s">
        <v>137</v>
      </c>
      <c r="C4" s="31" t="s">
        <v>137</v>
      </c>
    </row>
    <row r="5" spans="2:3" x14ac:dyDescent="0.25">
      <c r="B5" s="30" t="s">
        <v>138</v>
      </c>
      <c r="C5" s="31" t="s">
        <v>138</v>
      </c>
    </row>
    <row r="6" spans="2:3" x14ac:dyDescent="0.25">
      <c r="B6" s="30" t="s">
        <v>139</v>
      </c>
      <c r="C6" s="31" t="s">
        <v>139</v>
      </c>
    </row>
    <row r="7" spans="2:3" x14ac:dyDescent="0.25">
      <c r="B7" s="30" t="s">
        <v>140</v>
      </c>
      <c r="C7" s="31" t="s">
        <v>140</v>
      </c>
    </row>
    <row r="8" spans="2:3" x14ac:dyDescent="0.25">
      <c r="B8" s="30" t="s">
        <v>141</v>
      </c>
      <c r="C8" s="31" t="s">
        <v>141</v>
      </c>
    </row>
    <row r="9" spans="2:3" x14ac:dyDescent="0.25">
      <c r="B9" s="30" t="s">
        <v>142</v>
      </c>
      <c r="C9" s="31" t="s">
        <v>142</v>
      </c>
    </row>
    <row r="10" spans="2:3" x14ac:dyDescent="0.25">
      <c r="B10" s="30" t="s">
        <v>143</v>
      </c>
      <c r="C10" s="31" t="s">
        <v>143</v>
      </c>
    </row>
    <row r="11" spans="2:3" x14ac:dyDescent="0.25">
      <c r="B11" s="30" t="s">
        <v>144</v>
      </c>
      <c r="C11" s="31" t="s">
        <v>144</v>
      </c>
    </row>
    <row r="12" spans="2:3" x14ac:dyDescent="0.25">
      <c r="B12" s="30" t="s">
        <v>145</v>
      </c>
      <c r="C12" s="31" t="s">
        <v>145</v>
      </c>
    </row>
    <row r="13" spans="2:3" x14ac:dyDescent="0.25">
      <c r="B13" s="30" t="s">
        <v>146</v>
      </c>
      <c r="C13" s="31" t="s">
        <v>146</v>
      </c>
    </row>
    <row r="14" spans="2:3" x14ac:dyDescent="0.25">
      <c r="B14" s="30" t="s">
        <v>147</v>
      </c>
      <c r="C14" s="31" t="s">
        <v>147</v>
      </c>
    </row>
    <row r="15" spans="2:3" x14ac:dyDescent="0.25">
      <c r="B15" s="30" t="s">
        <v>148</v>
      </c>
      <c r="C15" s="31" t="s">
        <v>148</v>
      </c>
    </row>
    <row r="16" spans="2:3" x14ac:dyDescent="0.25">
      <c r="B16" s="30" t="s">
        <v>149</v>
      </c>
      <c r="C16" s="31" t="s">
        <v>149</v>
      </c>
    </row>
    <row r="17" spans="2:3" x14ac:dyDescent="0.25">
      <c r="B17" s="30" t="s">
        <v>150</v>
      </c>
      <c r="C17" s="31" t="s">
        <v>150</v>
      </c>
    </row>
    <row r="18" spans="2:3" x14ac:dyDescent="0.25">
      <c r="B18" s="30" t="s">
        <v>151</v>
      </c>
      <c r="C18" s="31" t="s">
        <v>151</v>
      </c>
    </row>
    <row r="19" spans="2:3" x14ac:dyDescent="0.25">
      <c r="B19" s="30" t="s">
        <v>152</v>
      </c>
      <c r="C19" s="31" t="s">
        <v>152</v>
      </c>
    </row>
    <row r="20" spans="2:3" x14ac:dyDescent="0.25">
      <c r="B20" s="30" t="s">
        <v>153</v>
      </c>
      <c r="C20" s="31" t="s">
        <v>153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B2:Q44"/>
  <sheetViews>
    <sheetView showGridLines="0" zoomScale="85" zoomScaleNormal="85" workbookViewId="0">
      <selection activeCell="C9" sqref="C9:Q33"/>
    </sheetView>
  </sheetViews>
  <sheetFormatPr defaultRowHeight="15" x14ac:dyDescent="0.25"/>
  <cols>
    <col min="2" max="2" width="36" bestFit="1" customWidth="1"/>
  </cols>
  <sheetData>
    <row r="2" spans="2:17" x14ac:dyDescent="0.25"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</row>
    <row r="3" spans="2:17" x14ac:dyDescent="0.25">
      <c r="B3" s="2" t="s">
        <v>16</v>
      </c>
      <c r="C3" s="2" t="s">
        <v>82</v>
      </c>
      <c r="D3" s="2" t="s">
        <v>83</v>
      </c>
      <c r="E3" s="2" t="s">
        <v>84</v>
      </c>
      <c r="F3" s="2" t="s">
        <v>85</v>
      </c>
      <c r="G3" s="2" t="s">
        <v>86</v>
      </c>
      <c r="H3" s="2" t="s">
        <v>87</v>
      </c>
      <c r="I3" s="2" t="s">
        <v>88</v>
      </c>
      <c r="J3" s="2" t="s">
        <v>89</v>
      </c>
      <c r="K3" s="2" t="s">
        <v>90</v>
      </c>
      <c r="L3" s="2" t="s">
        <v>91</v>
      </c>
      <c r="M3" s="2" t="s">
        <v>92</v>
      </c>
      <c r="N3" s="2" t="s">
        <v>93</v>
      </c>
      <c r="O3" s="2" t="s">
        <v>94</v>
      </c>
      <c r="P3" s="2" t="s">
        <v>95</v>
      </c>
      <c r="Q3" s="2" t="s">
        <v>96</v>
      </c>
    </row>
    <row r="4" spans="2:17" x14ac:dyDescent="0.25">
      <c r="B4" s="10" t="s">
        <v>97</v>
      </c>
      <c r="C4" s="32">
        <v>2.3269999999999999E-2</v>
      </c>
      <c r="D4" s="32">
        <v>2.332E-2</v>
      </c>
      <c r="E4" s="32">
        <v>2.3300000000000001E-2</v>
      </c>
      <c r="F4" s="32">
        <v>2.351E-2</v>
      </c>
      <c r="G4" s="32">
        <v>2.383E-2</v>
      </c>
      <c r="H4" s="32">
        <v>2.4199999999999999E-2</v>
      </c>
      <c r="I4" s="32">
        <v>2.4570000000000002E-2</v>
      </c>
      <c r="J4" s="32">
        <v>2.4930000000000001E-2</v>
      </c>
      <c r="K4" s="32">
        <v>2.528E-2</v>
      </c>
      <c r="L4" s="32">
        <v>2.5600000000000001E-2</v>
      </c>
      <c r="M4" s="32">
        <v>2.5899999999999999E-2</v>
      </c>
      <c r="N4" s="32">
        <v>2.6190000000000001E-2</v>
      </c>
      <c r="O4" s="32">
        <v>2.6450000000000001E-2</v>
      </c>
      <c r="P4" s="32">
        <v>2.6700000000000002E-2</v>
      </c>
      <c r="Q4" s="32">
        <v>2.6929999999999999E-2</v>
      </c>
    </row>
    <row r="5" spans="2:17" x14ac:dyDescent="0.25">
      <c r="B5" s="10" t="s">
        <v>98</v>
      </c>
      <c r="C5" s="32">
        <v>2.3269999999999999E-2</v>
      </c>
      <c r="D5" s="32">
        <v>2.332E-2</v>
      </c>
      <c r="E5" s="32">
        <v>2.3300000000000001E-2</v>
      </c>
      <c r="F5" s="32">
        <v>2.351E-2</v>
      </c>
      <c r="G5" s="32">
        <v>2.383E-2</v>
      </c>
      <c r="H5" s="32">
        <v>2.4199999999999999E-2</v>
      </c>
      <c r="I5" s="32">
        <v>2.4570000000000002E-2</v>
      </c>
      <c r="J5" s="32">
        <v>2.4930000000000001E-2</v>
      </c>
      <c r="K5" s="32">
        <v>2.528E-2</v>
      </c>
      <c r="L5" s="32">
        <v>2.5600000000000001E-2</v>
      </c>
      <c r="M5" s="32">
        <v>2.5899999999999999E-2</v>
      </c>
      <c r="N5" s="32">
        <v>2.6190000000000001E-2</v>
      </c>
      <c r="O5" s="32">
        <v>2.6450000000000001E-2</v>
      </c>
      <c r="P5" s="32">
        <v>2.6700000000000002E-2</v>
      </c>
      <c r="Q5" s="32">
        <v>2.6929999999999999E-2</v>
      </c>
    </row>
    <row r="6" spans="2:17" x14ac:dyDescent="0.25">
      <c r="B6" s="10" t="s">
        <v>99</v>
      </c>
      <c r="C6" s="32">
        <v>2.3269999999999999E-2</v>
      </c>
      <c r="D6" s="32">
        <v>2.332E-2</v>
      </c>
      <c r="E6" s="32">
        <v>2.3300000000000001E-2</v>
      </c>
      <c r="F6" s="32">
        <v>2.351E-2</v>
      </c>
      <c r="G6" s="32">
        <v>2.383E-2</v>
      </c>
      <c r="H6" s="32">
        <v>2.4199999999999999E-2</v>
      </c>
      <c r="I6" s="32">
        <v>2.4570000000000002E-2</v>
      </c>
      <c r="J6" s="32">
        <v>2.4930000000000001E-2</v>
      </c>
      <c r="K6" s="32">
        <v>2.528E-2</v>
      </c>
      <c r="L6" s="32">
        <v>2.5600000000000001E-2</v>
      </c>
      <c r="M6" s="32">
        <v>2.5899999999999999E-2</v>
      </c>
      <c r="N6" s="32">
        <v>2.6190000000000001E-2</v>
      </c>
      <c r="O6" s="32">
        <v>2.6450000000000001E-2</v>
      </c>
      <c r="P6" s="32">
        <v>2.6700000000000002E-2</v>
      </c>
      <c r="Q6" s="32">
        <v>2.6929999999999999E-2</v>
      </c>
    </row>
    <row r="7" spans="2:17" x14ac:dyDescent="0.25">
      <c r="B7" s="10" t="s">
        <v>100</v>
      </c>
      <c r="C7" s="32">
        <v>2.3269999999999999E-2</v>
      </c>
      <c r="D7" s="32">
        <v>2.332E-2</v>
      </c>
      <c r="E7" s="32">
        <v>2.3300000000000001E-2</v>
      </c>
      <c r="F7" s="32">
        <v>2.351E-2</v>
      </c>
      <c r="G7" s="32">
        <v>2.383E-2</v>
      </c>
      <c r="H7" s="32">
        <v>2.4199999999999999E-2</v>
      </c>
      <c r="I7" s="32">
        <v>2.4570000000000002E-2</v>
      </c>
      <c r="J7" s="32">
        <v>2.4930000000000001E-2</v>
      </c>
      <c r="K7" s="32">
        <v>2.528E-2</v>
      </c>
      <c r="L7" s="32">
        <v>2.5600000000000001E-2</v>
      </c>
      <c r="M7" s="32">
        <v>2.5899999999999999E-2</v>
      </c>
      <c r="N7" s="32">
        <v>2.6190000000000001E-2</v>
      </c>
      <c r="O7" s="32">
        <v>2.6450000000000001E-2</v>
      </c>
      <c r="P7" s="32">
        <v>2.6700000000000002E-2</v>
      </c>
      <c r="Q7" s="32">
        <v>2.6929999999999999E-2</v>
      </c>
    </row>
    <row r="8" spans="2:17" x14ac:dyDescent="0.25">
      <c r="B8" s="10" t="s">
        <v>101</v>
      </c>
      <c r="C8" s="32">
        <v>2.3269999999999999E-2</v>
      </c>
      <c r="D8" s="32">
        <v>2.332E-2</v>
      </c>
      <c r="E8" s="32">
        <v>2.3300000000000001E-2</v>
      </c>
      <c r="F8" s="32">
        <v>2.351E-2</v>
      </c>
      <c r="G8" s="32">
        <v>2.383E-2</v>
      </c>
      <c r="H8" s="32">
        <v>2.4199999999999999E-2</v>
      </c>
      <c r="I8" s="32">
        <v>2.4570000000000002E-2</v>
      </c>
      <c r="J8" s="32">
        <v>2.4930000000000001E-2</v>
      </c>
      <c r="K8" s="32">
        <v>2.528E-2</v>
      </c>
      <c r="L8" s="32">
        <v>2.5600000000000001E-2</v>
      </c>
      <c r="M8" s="32">
        <v>2.5899999999999999E-2</v>
      </c>
      <c r="N8" s="32">
        <v>2.6190000000000001E-2</v>
      </c>
      <c r="O8" s="32">
        <v>2.6450000000000001E-2</v>
      </c>
      <c r="P8" s="32">
        <v>2.6700000000000002E-2</v>
      </c>
      <c r="Q8" s="32">
        <v>2.6929999999999999E-2</v>
      </c>
    </row>
    <row r="9" spans="2:17" x14ac:dyDescent="0.25">
      <c r="B9" s="10" t="s">
        <v>102</v>
      </c>
      <c r="C9" s="32">
        <v>2.3269999999999999E-2</v>
      </c>
      <c r="D9" s="32">
        <v>2.332E-2</v>
      </c>
      <c r="E9" s="32">
        <v>2.3300000000000001E-2</v>
      </c>
      <c r="F9" s="32">
        <v>2.351E-2</v>
      </c>
      <c r="G9" s="32">
        <v>2.383E-2</v>
      </c>
      <c r="H9" s="32">
        <v>2.4199999999999999E-2</v>
      </c>
      <c r="I9" s="32">
        <v>2.4570000000000002E-2</v>
      </c>
      <c r="J9" s="32">
        <v>2.4930000000000001E-2</v>
      </c>
      <c r="K9" s="32">
        <v>2.528E-2</v>
      </c>
      <c r="L9" s="32">
        <v>2.5600000000000001E-2</v>
      </c>
      <c r="M9" s="32">
        <v>2.5899999999999999E-2</v>
      </c>
      <c r="N9" s="32">
        <v>2.6190000000000001E-2</v>
      </c>
      <c r="O9" s="32">
        <v>2.6450000000000001E-2</v>
      </c>
      <c r="P9" s="32">
        <v>2.6700000000000002E-2</v>
      </c>
      <c r="Q9" s="32">
        <v>2.6929999999999999E-2</v>
      </c>
    </row>
    <row r="10" spans="2:17" x14ac:dyDescent="0.25">
      <c r="B10" s="10" t="s">
        <v>103</v>
      </c>
      <c r="C10" s="32">
        <v>2.3269999999999999E-2</v>
      </c>
      <c r="D10" s="32">
        <v>2.332E-2</v>
      </c>
      <c r="E10" s="32">
        <v>2.3300000000000001E-2</v>
      </c>
      <c r="F10" s="32">
        <v>2.351E-2</v>
      </c>
      <c r="G10" s="32">
        <v>2.383E-2</v>
      </c>
      <c r="H10" s="32">
        <v>2.4199999999999999E-2</v>
      </c>
      <c r="I10" s="32">
        <v>2.4570000000000002E-2</v>
      </c>
      <c r="J10" s="32">
        <v>2.4930000000000001E-2</v>
      </c>
      <c r="K10" s="32">
        <v>2.528E-2</v>
      </c>
      <c r="L10" s="32">
        <v>2.5600000000000001E-2</v>
      </c>
      <c r="M10" s="32">
        <v>2.5899999999999999E-2</v>
      </c>
      <c r="N10" s="32">
        <v>2.6190000000000001E-2</v>
      </c>
      <c r="O10" s="32">
        <v>2.6450000000000001E-2</v>
      </c>
      <c r="P10" s="32">
        <v>2.6700000000000002E-2</v>
      </c>
      <c r="Q10" s="32">
        <v>2.6929999999999999E-2</v>
      </c>
    </row>
    <row r="11" spans="2:17" x14ac:dyDescent="0.25">
      <c r="B11" s="10" t="s">
        <v>104</v>
      </c>
      <c r="C11" s="32">
        <v>2.3269999999999999E-2</v>
      </c>
      <c r="D11" s="32">
        <v>2.332E-2</v>
      </c>
      <c r="E11" s="32">
        <v>2.3300000000000001E-2</v>
      </c>
      <c r="F11" s="32">
        <v>2.351E-2</v>
      </c>
      <c r="G11" s="32">
        <v>2.383E-2</v>
      </c>
      <c r="H11" s="32">
        <v>2.4199999999999999E-2</v>
      </c>
      <c r="I11" s="32">
        <v>2.4570000000000002E-2</v>
      </c>
      <c r="J11" s="32">
        <v>2.4930000000000001E-2</v>
      </c>
      <c r="K11" s="32">
        <v>2.528E-2</v>
      </c>
      <c r="L11" s="32">
        <v>2.5600000000000001E-2</v>
      </c>
      <c r="M11" s="32">
        <v>2.5899999999999999E-2</v>
      </c>
      <c r="N11" s="32">
        <v>2.6190000000000001E-2</v>
      </c>
      <c r="O11" s="32">
        <v>2.6450000000000001E-2</v>
      </c>
      <c r="P11" s="32">
        <v>2.6700000000000002E-2</v>
      </c>
      <c r="Q11" s="32">
        <v>2.6929999999999999E-2</v>
      </c>
    </row>
    <row r="12" spans="2:17" x14ac:dyDescent="0.25">
      <c r="B12" s="10" t="s">
        <v>105</v>
      </c>
      <c r="C12" s="32">
        <v>2.3269999999999999E-2</v>
      </c>
      <c r="D12" s="32">
        <v>2.332E-2</v>
      </c>
      <c r="E12" s="32">
        <v>2.3300000000000001E-2</v>
      </c>
      <c r="F12" s="32">
        <v>2.351E-2</v>
      </c>
      <c r="G12" s="32">
        <v>2.383E-2</v>
      </c>
      <c r="H12" s="32">
        <v>2.4199999999999999E-2</v>
      </c>
      <c r="I12" s="32">
        <v>2.4570000000000002E-2</v>
      </c>
      <c r="J12" s="32">
        <v>2.4930000000000001E-2</v>
      </c>
      <c r="K12" s="32">
        <v>2.528E-2</v>
      </c>
      <c r="L12" s="32">
        <v>2.5600000000000001E-2</v>
      </c>
      <c r="M12" s="32">
        <v>2.5899999999999999E-2</v>
      </c>
      <c r="N12" s="32">
        <v>2.6190000000000001E-2</v>
      </c>
      <c r="O12" s="32">
        <v>2.6450000000000001E-2</v>
      </c>
      <c r="P12" s="32">
        <v>2.6700000000000002E-2</v>
      </c>
      <c r="Q12" s="32">
        <v>2.6929999999999999E-2</v>
      </c>
    </row>
    <row r="13" spans="2:17" x14ac:dyDescent="0.25">
      <c r="B13" s="10" t="s">
        <v>106</v>
      </c>
      <c r="C13" s="32">
        <v>2.3269999999999999E-2</v>
      </c>
      <c r="D13" s="32">
        <v>2.332E-2</v>
      </c>
      <c r="E13" s="32">
        <v>2.3300000000000001E-2</v>
      </c>
      <c r="F13" s="32">
        <v>2.351E-2</v>
      </c>
      <c r="G13" s="32">
        <v>2.383E-2</v>
      </c>
      <c r="H13" s="32">
        <v>2.4199999999999999E-2</v>
      </c>
      <c r="I13" s="32">
        <v>2.4570000000000002E-2</v>
      </c>
      <c r="J13" s="32">
        <v>2.4930000000000001E-2</v>
      </c>
      <c r="K13" s="32">
        <v>2.528E-2</v>
      </c>
      <c r="L13" s="32">
        <v>2.5600000000000001E-2</v>
      </c>
      <c r="M13" s="32">
        <v>2.5899999999999999E-2</v>
      </c>
      <c r="N13" s="32">
        <v>2.6190000000000001E-2</v>
      </c>
      <c r="O13" s="32">
        <v>2.6450000000000001E-2</v>
      </c>
      <c r="P13" s="32">
        <v>2.6700000000000002E-2</v>
      </c>
      <c r="Q13" s="32">
        <v>2.6929999999999999E-2</v>
      </c>
    </row>
    <row r="14" spans="2:17" x14ac:dyDescent="0.25">
      <c r="B14" s="10" t="s">
        <v>107</v>
      </c>
      <c r="C14" s="32">
        <v>2.3269999999999999E-2</v>
      </c>
      <c r="D14" s="32">
        <v>2.332E-2</v>
      </c>
      <c r="E14" s="32">
        <v>2.3300000000000001E-2</v>
      </c>
      <c r="F14" s="32">
        <v>2.351E-2</v>
      </c>
      <c r="G14" s="32">
        <v>2.383E-2</v>
      </c>
      <c r="H14" s="32">
        <v>2.4199999999999999E-2</v>
      </c>
      <c r="I14" s="32">
        <v>2.4570000000000002E-2</v>
      </c>
      <c r="J14" s="32">
        <v>2.4930000000000001E-2</v>
      </c>
      <c r="K14" s="32">
        <v>2.528E-2</v>
      </c>
      <c r="L14" s="32">
        <v>2.5600000000000001E-2</v>
      </c>
      <c r="M14" s="32">
        <v>2.5899999999999999E-2</v>
      </c>
      <c r="N14" s="32">
        <v>2.6190000000000001E-2</v>
      </c>
      <c r="O14" s="32">
        <v>2.6450000000000001E-2</v>
      </c>
      <c r="P14" s="32">
        <v>2.6700000000000002E-2</v>
      </c>
      <c r="Q14" s="32">
        <v>2.6929999999999999E-2</v>
      </c>
    </row>
    <row r="15" spans="2:17" x14ac:dyDescent="0.25">
      <c r="B15" s="10" t="s">
        <v>108</v>
      </c>
      <c r="C15" s="32">
        <v>2.3269999999999999E-2</v>
      </c>
      <c r="D15" s="32">
        <v>2.332E-2</v>
      </c>
      <c r="E15" s="32">
        <v>2.3300000000000001E-2</v>
      </c>
      <c r="F15" s="32">
        <v>2.351E-2</v>
      </c>
      <c r="G15" s="32">
        <v>2.383E-2</v>
      </c>
      <c r="H15" s="32">
        <v>2.4199999999999999E-2</v>
      </c>
      <c r="I15" s="32">
        <v>2.4570000000000002E-2</v>
      </c>
      <c r="J15" s="32">
        <v>2.4930000000000001E-2</v>
      </c>
      <c r="K15" s="32">
        <v>2.528E-2</v>
      </c>
      <c r="L15" s="32">
        <v>2.5600000000000001E-2</v>
      </c>
      <c r="M15" s="32">
        <v>2.5899999999999999E-2</v>
      </c>
      <c r="N15" s="32">
        <v>2.6190000000000001E-2</v>
      </c>
      <c r="O15" s="32">
        <v>2.6450000000000001E-2</v>
      </c>
      <c r="P15" s="32">
        <v>2.6700000000000002E-2</v>
      </c>
      <c r="Q15" s="32">
        <v>2.6929999999999999E-2</v>
      </c>
    </row>
    <row r="16" spans="2:17" x14ac:dyDescent="0.25">
      <c r="B16" s="10" t="s">
        <v>47</v>
      </c>
      <c r="C16" s="32">
        <v>2.3269999999999999E-2</v>
      </c>
      <c r="D16" s="32">
        <v>2.332E-2</v>
      </c>
      <c r="E16" s="32">
        <v>2.3300000000000001E-2</v>
      </c>
      <c r="F16" s="32">
        <v>2.351E-2</v>
      </c>
      <c r="G16" s="32">
        <v>2.383E-2</v>
      </c>
      <c r="H16" s="32">
        <v>2.4199999999999999E-2</v>
      </c>
      <c r="I16" s="32">
        <v>2.4570000000000002E-2</v>
      </c>
      <c r="J16" s="32">
        <v>2.4930000000000001E-2</v>
      </c>
      <c r="K16" s="32">
        <v>2.528E-2</v>
      </c>
      <c r="L16" s="32">
        <v>2.5600000000000001E-2</v>
      </c>
      <c r="M16" s="32">
        <v>2.5899999999999999E-2</v>
      </c>
      <c r="N16" s="32">
        <v>2.6190000000000001E-2</v>
      </c>
      <c r="O16" s="32">
        <v>2.6450000000000001E-2</v>
      </c>
      <c r="P16" s="32">
        <v>2.6700000000000002E-2</v>
      </c>
      <c r="Q16" s="32">
        <v>2.6929999999999999E-2</v>
      </c>
    </row>
    <row r="17" spans="2:17" x14ac:dyDescent="0.25">
      <c r="B17" s="10" t="s">
        <v>109</v>
      </c>
      <c r="C17" s="32">
        <v>2.3269999999999999E-2</v>
      </c>
      <c r="D17" s="32">
        <v>2.332E-2</v>
      </c>
      <c r="E17" s="32">
        <v>2.3300000000000001E-2</v>
      </c>
      <c r="F17" s="32">
        <v>2.351E-2</v>
      </c>
      <c r="G17" s="32">
        <v>2.383E-2</v>
      </c>
      <c r="H17" s="32">
        <v>2.4199999999999999E-2</v>
      </c>
      <c r="I17" s="32">
        <v>2.4570000000000002E-2</v>
      </c>
      <c r="J17" s="32">
        <v>2.4930000000000001E-2</v>
      </c>
      <c r="K17" s="32">
        <v>2.528E-2</v>
      </c>
      <c r="L17" s="32">
        <v>2.5600000000000001E-2</v>
      </c>
      <c r="M17" s="32">
        <v>2.5899999999999999E-2</v>
      </c>
      <c r="N17" s="32">
        <v>2.6190000000000001E-2</v>
      </c>
      <c r="O17" s="32">
        <v>2.6450000000000001E-2</v>
      </c>
      <c r="P17" s="32">
        <v>2.6700000000000002E-2</v>
      </c>
      <c r="Q17" s="32">
        <v>2.6929999999999999E-2</v>
      </c>
    </row>
    <row r="18" spans="2:17" x14ac:dyDescent="0.25">
      <c r="B18" s="10" t="s">
        <v>110</v>
      </c>
      <c r="C18" s="32">
        <v>2.3269999999999999E-2</v>
      </c>
      <c r="D18" s="32">
        <v>2.332E-2</v>
      </c>
      <c r="E18" s="32">
        <v>2.3300000000000001E-2</v>
      </c>
      <c r="F18" s="32">
        <v>2.351E-2</v>
      </c>
      <c r="G18" s="32">
        <v>2.383E-2</v>
      </c>
      <c r="H18" s="32">
        <v>2.4199999999999999E-2</v>
      </c>
      <c r="I18" s="32">
        <v>2.4570000000000002E-2</v>
      </c>
      <c r="J18" s="32">
        <v>2.4930000000000001E-2</v>
      </c>
      <c r="K18" s="32">
        <v>2.528E-2</v>
      </c>
      <c r="L18" s="32">
        <v>2.5600000000000001E-2</v>
      </c>
      <c r="M18" s="32">
        <v>2.5899999999999999E-2</v>
      </c>
      <c r="N18" s="32">
        <v>2.6190000000000001E-2</v>
      </c>
      <c r="O18" s="32">
        <v>2.6450000000000001E-2</v>
      </c>
      <c r="P18" s="32">
        <v>2.6700000000000002E-2</v>
      </c>
      <c r="Q18" s="32">
        <v>2.6929999999999999E-2</v>
      </c>
    </row>
    <row r="19" spans="2:17" x14ac:dyDescent="0.25">
      <c r="B19" s="10" t="s">
        <v>111</v>
      </c>
      <c r="C19" s="32">
        <v>2.3269999999999999E-2</v>
      </c>
      <c r="D19" s="32">
        <v>2.332E-2</v>
      </c>
      <c r="E19" s="32">
        <v>2.3300000000000001E-2</v>
      </c>
      <c r="F19" s="32">
        <v>2.351E-2</v>
      </c>
      <c r="G19" s="32">
        <v>2.383E-2</v>
      </c>
      <c r="H19" s="32">
        <v>2.4199999999999999E-2</v>
      </c>
      <c r="I19" s="32">
        <v>2.4570000000000002E-2</v>
      </c>
      <c r="J19" s="32">
        <v>2.4930000000000001E-2</v>
      </c>
      <c r="K19" s="32">
        <v>2.528E-2</v>
      </c>
      <c r="L19" s="32">
        <v>2.5600000000000001E-2</v>
      </c>
      <c r="M19" s="32">
        <v>2.5899999999999999E-2</v>
      </c>
      <c r="N19" s="32">
        <v>2.6190000000000001E-2</v>
      </c>
      <c r="O19" s="32">
        <v>2.6450000000000001E-2</v>
      </c>
      <c r="P19" s="32">
        <v>2.6700000000000002E-2</v>
      </c>
      <c r="Q19" s="32">
        <v>2.6929999999999999E-2</v>
      </c>
    </row>
    <row r="20" spans="2:17" x14ac:dyDescent="0.25">
      <c r="B20" s="10" t="s">
        <v>38</v>
      </c>
      <c r="C20" s="32">
        <v>2.3269999999999999E-2</v>
      </c>
      <c r="D20" s="32">
        <v>2.332E-2</v>
      </c>
      <c r="E20" s="32">
        <v>2.3300000000000001E-2</v>
      </c>
      <c r="F20" s="32">
        <v>2.351E-2</v>
      </c>
      <c r="G20" s="32">
        <v>2.383E-2</v>
      </c>
      <c r="H20" s="32">
        <v>2.4199999999999999E-2</v>
      </c>
      <c r="I20" s="32">
        <v>2.4570000000000002E-2</v>
      </c>
      <c r="J20" s="32">
        <v>2.4930000000000001E-2</v>
      </c>
      <c r="K20" s="32">
        <v>2.528E-2</v>
      </c>
      <c r="L20" s="32">
        <v>2.5600000000000001E-2</v>
      </c>
      <c r="M20" s="32">
        <v>2.5899999999999999E-2</v>
      </c>
      <c r="N20" s="32">
        <v>2.6190000000000001E-2</v>
      </c>
      <c r="O20" s="32">
        <v>2.6450000000000001E-2</v>
      </c>
      <c r="P20" s="32">
        <v>2.6700000000000002E-2</v>
      </c>
      <c r="Q20" s="32">
        <v>2.6929999999999999E-2</v>
      </c>
    </row>
    <row r="21" spans="2:17" x14ac:dyDescent="0.25">
      <c r="B21" s="10" t="s">
        <v>23</v>
      </c>
      <c r="C21" s="32">
        <v>2.3269999999999999E-2</v>
      </c>
      <c r="D21" s="32">
        <v>2.332E-2</v>
      </c>
      <c r="E21" s="32">
        <v>2.3300000000000001E-2</v>
      </c>
      <c r="F21" s="32">
        <v>2.351E-2</v>
      </c>
      <c r="G21" s="32">
        <v>2.383E-2</v>
      </c>
      <c r="H21" s="32">
        <v>2.4199999999999999E-2</v>
      </c>
      <c r="I21" s="32">
        <v>2.4570000000000002E-2</v>
      </c>
      <c r="J21" s="32">
        <v>2.4930000000000001E-2</v>
      </c>
      <c r="K21" s="32">
        <v>2.528E-2</v>
      </c>
      <c r="L21" s="32">
        <v>2.5600000000000001E-2</v>
      </c>
      <c r="M21" s="32">
        <v>2.5899999999999999E-2</v>
      </c>
      <c r="N21" s="32">
        <v>2.6190000000000001E-2</v>
      </c>
      <c r="O21" s="32">
        <v>2.6450000000000001E-2</v>
      </c>
      <c r="P21" s="32">
        <v>2.6700000000000002E-2</v>
      </c>
      <c r="Q21" s="32">
        <v>2.6929999999999999E-2</v>
      </c>
    </row>
    <row r="22" spans="2:17" x14ac:dyDescent="0.25">
      <c r="B22" s="10" t="s">
        <v>24</v>
      </c>
      <c r="C22" s="32">
        <v>2.3269999999999999E-2</v>
      </c>
      <c r="D22" s="32">
        <v>2.332E-2</v>
      </c>
      <c r="E22" s="32">
        <v>2.3300000000000001E-2</v>
      </c>
      <c r="F22" s="32">
        <v>2.351E-2</v>
      </c>
      <c r="G22" s="32">
        <v>2.383E-2</v>
      </c>
      <c r="H22" s="32">
        <v>2.4199999999999999E-2</v>
      </c>
      <c r="I22" s="32">
        <v>2.4570000000000002E-2</v>
      </c>
      <c r="J22" s="32">
        <v>2.4930000000000001E-2</v>
      </c>
      <c r="K22" s="32">
        <v>2.528E-2</v>
      </c>
      <c r="L22" s="32">
        <v>2.5600000000000001E-2</v>
      </c>
      <c r="M22" s="32">
        <v>2.5899999999999999E-2</v>
      </c>
      <c r="N22" s="32">
        <v>2.6190000000000001E-2</v>
      </c>
      <c r="O22" s="32">
        <v>2.6450000000000001E-2</v>
      </c>
      <c r="P22" s="32">
        <v>2.6700000000000002E-2</v>
      </c>
      <c r="Q22" s="32">
        <v>2.6929999999999999E-2</v>
      </c>
    </row>
    <row r="23" spans="2:17" x14ac:dyDescent="0.25">
      <c r="B23" s="10" t="s">
        <v>25</v>
      </c>
      <c r="C23" s="32">
        <v>2.3269999999999999E-2</v>
      </c>
      <c r="D23" s="32">
        <v>2.332E-2</v>
      </c>
      <c r="E23" s="32">
        <v>2.3300000000000001E-2</v>
      </c>
      <c r="F23" s="32">
        <v>2.351E-2</v>
      </c>
      <c r="G23" s="32">
        <v>2.383E-2</v>
      </c>
      <c r="H23" s="32">
        <v>2.4199999999999999E-2</v>
      </c>
      <c r="I23" s="32">
        <v>2.4570000000000002E-2</v>
      </c>
      <c r="J23" s="32">
        <v>2.4930000000000001E-2</v>
      </c>
      <c r="K23" s="32">
        <v>2.528E-2</v>
      </c>
      <c r="L23" s="32">
        <v>2.5600000000000001E-2</v>
      </c>
      <c r="M23" s="32">
        <v>2.5899999999999999E-2</v>
      </c>
      <c r="N23" s="32">
        <v>2.6190000000000001E-2</v>
      </c>
      <c r="O23" s="32">
        <v>2.6450000000000001E-2</v>
      </c>
      <c r="P23" s="32">
        <v>2.6700000000000002E-2</v>
      </c>
      <c r="Q23" s="32">
        <v>2.6929999999999999E-2</v>
      </c>
    </row>
    <row r="24" spans="2:17" x14ac:dyDescent="0.25">
      <c r="B24" s="10" t="s">
        <v>26</v>
      </c>
      <c r="C24" s="32">
        <v>2.3269999999999999E-2</v>
      </c>
      <c r="D24" s="32">
        <v>2.332E-2</v>
      </c>
      <c r="E24" s="32">
        <v>2.3300000000000001E-2</v>
      </c>
      <c r="F24" s="32">
        <v>2.351E-2</v>
      </c>
      <c r="G24" s="32">
        <v>2.383E-2</v>
      </c>
      <c r="H24" s="32">
        <v>2.4199999999999999E-2</v>
      </c>
      <c r="I24" s="32">
        <v>2.4570000000000002E-2</v>
      </c>
      <c r="J24" s="32">
        <v>2.4930000000000001E-2</v>
      </c>
      <c r="K24" s="32">
        <v>2.528E-2</v>
      </c>
      <c r="L24" s="32">
        <v>2.5600000000000001E-2</v>
      </c>
      <c r="M24" s="32">
        <v>2.5899999999999999E-2</v>
      </c>
      <c r="N24" s="32">
        <v>2.6190000000000001E-2</v>
      </c>
      <c r="O24" s="32">
        <v>2.6450000000000001E-2</v>
      </c>
      <c r="P24" s="32">
        <v>2.6700000000000002E-2</v>
      </c>
      <c r="Q24" s="32">
        <v>2.6929999999999999E-2</v>
      </c>
    </row>
    <row r="25" spans="2:17" x14ac:dyDescent="0.25">
      <c r="B25" s="10" t="s">
        <v>27</v>
      </c>
      <c r="C25" s="32">
        <v>2.3269999999999999E-2</v>
      </c>
      <c r="D25" s="32">
        <v>2.332E-2</v>
      </c>
      <c r="E25" s="32">
        <v>2.3300000000000001E-2</v>
      </c>
      <c r="F25" s="32">
        <v>2.351E-2</v>
      </c>
      <c r="G25" s="32">
        <v>2.383E-2</v>
      </c>
      <c r="H25" s="32">
        <v>2.4199999999999999E-2</v>
      </c>
      <c r="I25" s="32">
        <v>2.4570000000000002E-2</v>
      </c>
      <c r="J25" s="32">
        <v>2.4930000000000001E-2</v>
      </c>
      <c r="K25" s="32">
        <v>2.528E-2</v>
      </c>
      <c r="L25" s="32">
        <v>2.5600000000000001E-2</v>
      </c>
      <c r="M25" s="32">
        <v>2.5899999999999999E-2</v>
      </c>
      <c r="N25" s="32">
        <v>2.6190000000000001E-2</v>
      </c>
      <c r="O25" s="32">
        <v>2.6450000000000001E-2</v>
      </c>
      <c r="P25" s="32">
        <v>2.6700000000000002E-2</v>
      </c>
      <c r="Q25" s="32">
        <v>2.6929999999999999E-2</v>
      </c>
    </row>
    <row r="26" spans="2:17" x14ac:dyDescent="0.25">
      <c r="B26" s="10" t="s">
        <v>28</v>
      </c>
      <c r="C26" s="32">
        <v>2.3269999999999999E-2</v>
      </c>
      <c r="D26" s="32">
        <v>2.332E-2</v>
      </c>
      <c r="E26" s="32">
        <v>2.3300000000000001E-2</v>
      </c>
      <c r="F26" s="32">
        <v>2.351E-2</v>
      </c>
      <c r="G26" s="32">
        <v>2.383E-2</v>
      </c>
      <c r="H26" s="32">
        <v>2.4199999999999999E-2</v>
      </c>
      <c r="I26" s="32">
        <v>2.4570000000000002E-2</v>
      </c>
      <c r="J26" s="32">
        <v>2.4930000000000001E-2</v>
      </c>
      <c r="K26" s="32">
        <v>2.528E-2</v>
      </c>
      <c r="L26" s="32">
        <v>2.5600000000000001E-2</v>
      </c>
      <c r="M26" s="32">
        <v>2.5899999999999999E-2</v>
      </c>
      <c r="N26" s="32">
        <v>2.6190000000000001E-2</v>
      </c>
      <c r="O26" s="32">
        <v>2.6450000000000001E-2</v>
      </c>
      <c r="P26" s="32">
        <v>2.6700000000000002E-2</v>
      </c>
      <c r="Q26" s="32">
        <v>2.6929999999999999E-2</v>
      </c>
    </row>
    <row r="27" spans="2:17" x14ac:dyDescent="0.25">
      <c r="B27" s="10" t="s">
        <v>29</v>
      </c>
      <c r="C27" s="32">
        <v>2.3269999999999999E-2</v>
      </c>
      <c r="D27" s="32">
        <v>2.332E-2</v>
      </c>
      <c r="E27" s="32">
        <v>2.3300000000000001E-2</v>
      </c>
      <c r="F27" s="32">
        <v>2.351E-2</v>
      </c>
      <c r="G27" s="32">
        <v>2.383E-2</v>
      </c>
      <c r="H27" s="32">
        <v>2.4199999999999999E-2</v>
      </c>
      <c r="I27" s="32">
        <v>2.4570000000000002E-2</v>
      </c>
      <c r="J27" s="32">
        <v>2.4930000000000001E-2</v>
      </c>
      <c r="K27" s="32">
        <v>2.528E-2</v>
      </c>
      <c r="L27" s="32">
        <v>2.5600000000000001E-2</v>
      </c>
      <c r="M27" s="32">
        <v>2.5899999999999999E-2</v>
      </c>
      <c r="N27" s="32">
        <v>2.6190000000000001E-2</v>
      </c>
      <c r="O27" s="32">
        <v>2.6450000000000001E-2</v>
      </c>
      <c r="P27" s="32">
        <v>2.6700000000000002E-2</v>
      </c>
      <c r="Q27" s="32">
        <v>2.6929999999999999E-2</v>
      </c>
    </row>
    <row r="28" spans="2:17" x14ac:dyDescent="0.25">
      <c r="B28" s="10" t="s">
        <v>30</v>
      </c>
      <c r="C28" s="32">
        <v>2.3269999999999999E-2</v>
      </c>
      <c r="D28" s="32">
        <v>2.332E-2</v>
      </c>
      <c r="E28" s="32">
        <v>2.3300000000000001E-2</v>
      </c>
      <c r="F28" s="32">
        <v>2.351E-2</v>
      </c>
      <c r="G28" s="32">
        <v>2.383E-2</v>
      </c>
      <c r="H28" s="32">
        <v>2.4199999999999999E-2</v>
      </c>
      <c r="I28" s="32">
        <v>2.4570000000000002E-2</v>
      </c>
      <c r="J28" s="32">
        <v>2.4930000000000001E-2</v>
      </c>
      <c r="K28" s="32">
        <v>2.528E-2</v>
      </c>
      <c r="L28" s="32">
        <v>2.5600000000000001E-2</v>
      </c>
      <c r="M28" s="32">
        <v>2.5899999999999999E-2</v>
      </c>
      <c r="N28" s="32">
        <v>2.6190000000000001E-2</v>
      </c>
      <c r="O28" s="32">
        <v>2.6450000000000001E-2</v>
      </c>
      <c r="P28" s="32">
        <v>2.6700000000000002E-2</v>
      </c>
      <c r="Q28" s="32">
        <v>2.6929999999999999E-2</v>
      </c>
    </row>
    <row r="29" spans="2:17" x14ac:dyDescent="0.25">
      <c r="B29" s="10" t="s">
        <v>31</v>
      </c>
      <c r="C29" s="32">
        <v>2.3269999999999999E-2</v>
      </c>
      <c r="D29" s="32">
        <v>2.332E-2</v>
      </c>
      <c r="E29" s="32">
        <v>2.3300000000000001E-2</v>
      </c>
      <c r="F29" s="32">
        <v>2.351E-2</v>
      </c>
      <c r="G29" s="32">
        <v>2.383E-2</v>
      </c>
      <c r="H29" s="32">
        <v>2.4199999999999999E-2</v>
      </c>
      <c r="I29" s="32">
        <v>2.4570000000000002E-2</v>
      </c>
      <c r="J29" s="32">
        <v>2.4930000000000001E-2</v>
      </c>
      <c r="K29" s="32">
        <v>2.528E-2</v>
      </c>
      <c r="L29" s="32">
        <v>2.5600000000000001E-2</v>
      </c>
      <c r="M29" s="32">
        <v>2.5899999999999999E-2</v>
      </c>
      <c r="N29" s="32">
        <v>2.6190000000000001E-2</v>
      </c>
      <c r="O29" s="32">
        <v>2.6450000000000001E-2</v>
      </c>
      <c r="P29" s="32">
        <v>2.6700000000000002E-2</v>
      </c>
      <c r="Q29" s="32">
        <v>2.6929999999999999E-2</v>
      </c>
    </row>
    <row r="30" spans="2:17" x14ac:dyDescent="0.25">
      <c r="B30" s="10" t="s">
        <v>32</v>
      </c>
      <c r="C30" s="32">
        <v>2.3269999999999999E-2</v>
      </c>
      <c r="D30" s="32">
        <v>2.332E-2</v>
      </c>
      <c r="E30" s="32">
        <v>2.3300000000000001E-2</v>
      </c>
      <c r="F30" s="32">
        <v>2.351E-2</v>
      </c>
      <c r="G30" s="32">
        <v>2.383E-2</v>
      </c>
      <c r="H30" s="32">
        <v>2.4199999999999999E-2</v>
      </c>
      <c r="I30" s="32">
        <v>2.4570000000000002E-2</v>
      </c>
      <c r="J30" s="32">
        <v>2.4930000000000001E-2</v>
      </c>
      <c r="K30" s="32">
        <v>2.528E-2</v>
      </c>
      <c r="L30" s="32">
        <v>2.5600000000000001E-2</v>
      </c>
      <c r="M30" s="32">
        <v>2.5899999999999999E-2</v>
      </c>
      <c r="N30" s="32">
        <v>2.6190000000000001E-2</v>
      </c>
      <c r="O30" s="32">
        <v>2.6450000000000001E-2</v>
      </c>
      <c r="P30" s="32">
        <v>2.6700000000000002E-2</v>
      </c>
      <c r="Q30" s="32">
        <v>2.6929999999999999E-2</v>
      </c>
    </row>
    <row r="31" spans="2:17" x14ac:dyDescent="0.25">
      <c r="B31" s="10" t="s">
        <v>33</v>
      </c>
      <c r="C31" s="32">
        <v>2.3269999999999999E-2</v>
      </c>
      <c r="D31" s="32">
        <v>2.332E-2</v>
      </c>
      <c r="E31" s="32">
        <v>2.3300000000000001E-2</v>
      </c>
      <c r="F31" s="32">
        <v>2.351E-2</v>
      </c>
      <c r="G31" s="32">
        <v>2.383E-2</v>
      </c>
      <c r="H31" s="32">
        <v>2.4199999999999999E-2</v>
      </c>
      <c r="I31" s="32">
        <v>2.4570000000000002E-2</v>
      </c>
      <c r="J31" s="32">
        <v>2.4930000000000001E-2</v>
      </c>
      <c r="K31" s="32">
        <v>2.528E-2</v>
      </c>
      <c r="L31" s="32">
        <v>2.5600000000000001E-2</v>
      </c>
      <c r="M31" s="32">
        <v>2.5899999999999999E-2</v>
      </c>
      <c r="N31" s="32">
        <v>2.6190000000000001E-2</v>
      </c>
      <c r="O31" s="32">
        <v>2.6450000000000001E-2</v>
      </c>
      <c r="P31" s="32">
        <v>2.6700000000000002E-2</v>
      </c>
      <c r="Q31" s="32">
        <v>2.6929999999999999E-2</v>
      </c>
    </row>
    <row r="32" spans="2:17" x14ac:dyDescent="0.25">
      <c r="B32" s="10" t="s">
        <v>34</v>
      </c>
      <c r="C32" s="32">
        <v>2.3269999999999999E-2</v>
      </c>
      <c r="D32" s="32">
        <v>2.332E-2</v>
      </c>
      <c r="E32" s="32">
        <v>2.3300000000000001E-2</v>
      </c>
      <c r="F32" s="32">
        <v>2.351E-2</v>
      </c>
      <c r="G32" s="32">
        <v>2.383E-2</v>
      </c>
      <c r="H32" s="32">
        <v>2.4199999999999999E-2</v>
      </c>
      <c r="I32" s="32">
        <v>2.4570000000000002E-2</v>
      </c>
      <c r="J32" s="32">
        <v>2.4930000000000001E-2</v>
      </c>
      <c r="K32" s="32">
        <v>2.528E-2</v>
      </c>
      <c r="L32" s="32">
        <v>2.5600000000000001E-2</v>
      </c>
      <c r="M32" s="32">
        <v>2.5899999999999999E-2</v>
      </c>
      <c r="N32" s="32">
        <v>2.6190000000000001E-2</v>
      </c>
      <c r="O32" s="32">
        <v>2.6450000000000001E-2</v>
      </c>
      <c r="P32" s="32">
        <v>2.6700000000000002E-2</v>
      </c>
      <c r="Q32" s="32">
        <v>2.6929999999999999E-2</v>
      </c>
    </row>
    <row r="33" spans="2:17" x14ac:dyDescent="0.25">
      <c r="B33" s="10" t="s">
        <v>35</v>
      </c>
      <c r="C33" s="32">
        <v>2.3269999999999999E-2</v>
      </c>
      <c r="D33" s="32">
        <v>2.332E-2</v>
      </c>
      <c r="E33" s="32">
        <v>2.3300000000000001E-2</v>
      </c>
      <c r="F33" s="32">
        <v>2.351E-2</v>
      </c>
      <c r="G33" s="32">
        <v>2.383E-2</v>
      </c>
      <c r="H33" s="32">
        <v>2.4199999999999999E-2</v>
      </c>
      <c r="I33" s="32">
        <v>2.4570000000000002E-2</v>
      </c>
      <c r="J33" s="32">
        <v>2.4930000000000001E-2</v>
      </c>
      <c r="K33" s="32">
        <v>2.528E-2</v>
      </c>
      <c r="L33" s="32">
        <v>2.5600000000000001E-2</v>
      </c>
      <c r="M33" s="32">
        <v>2.5899999999999999E-2</v>
      </c>
      <c r="N33" s="32">
        <v>2.6190000000000001E-2</v>
      </c>
      <c r="O33" s="32">
        <v>2.6450000000000001E-2</v>
      </c>
      <c r="P33" s="32">
        <v>2.6700000000000002E-2</v>
      </c>
      <c r="Q33" s="32">
        <v>2.6929999999999999E-2</v>
      </c>
    </row>
    <row r="34" spans="2:17" x14ac:dyDescent="0.25">
      <c r="B34" s="10" t="s">
        <v>36</v>
      </c>
      <c r="C34" s="32">
        <v>2.3269999999999999E-2</v>
      </c>
      <c r="D34" s="32">
        <v>2.332E-2</v>
      </c>
      <c r="E34" s="32">
        <v>2.3300000000000001E-2</v>
      </c>
      <c r="F34" s="32">
        <v>2.351E-2</v>
      </c>
      <c r="G34" s="32">
        <v>2.383E-2</v>
      </c>
      <c r="H34" s="32">
        <v>2.4199999999999999E-2</v>
      </c>
      <c r="I34" s="32">
        <v>2.4570000000000002E-2</v>
      </c>
      <c r="J34" s="32">
        <v>2.4930000000000001E-2</v>
      </c>
      <c r="K34" s="32">
        <v>2.528E-2</v>
      </c>
      <c r="L34" s="32">
        <v>2.5600000000000001E-2</v>
      </c>
      <c r="M34" s="32">
        <v>2.5899999999999999E-2</v>
      </c>
      <c r="N34" s="32">
        <v>2.6190000000000001E-2</v>
      </c>
      <c r="O34" s="32">
        <v>2.6450000000000001E-2</v>
      </c>
      <c r="P34" s="32">
        <v>2.6700000000000002E-2</v>
      </c>
      <c r="Q34" s="32">
        <v>2.6929999999999999E-2</v>
      </c>
    </row>
    <row r="35" spans="2:17" x14ac:dyDescent="0.25">
      <c r="B35" s="10" t="s">
        <v>37</v>
      </c>
      <c r="C35" s="32">
        <v>2.3269999999999999E-2</v>
      </c>
      <c r="D35" s="32">
        <v>2.332E-2</v>
      </c>
      <c r="E35" s="32">
        <v>2.3300000000000001E-2</v>
      </c>
      <c r="F35" s="32">
        <v>2.351E-2</v>
      </c>
      <c r="G35" s="32">
        <v>2.383E-2</v>
      </c>
      <c r="H35" s="32">
        <v>2.4199999999999999E-2</v>
      </c>
      <c r="I35" s="32">
        <v>2.4570000000000002E-2</v>
      </c>
      <c r="J35" s="32">
        <v>2.4930000000000001E-2</v>
      </c>
      <c r="K35" s="32">
        <v>2.528E-2</v>
      </c>
      <c r="L35" s="32">
        <v>2.5600000000000001E-2</v>
      </c>
      <c r="M35" s="32">
        <v>2.5899999999999999E-2</v>
      </c>
      <c r="N35" s="32">
        <v>2.6190000000000001E-2</v>
      </c>
      <c r="O35" s="32">
        <v>2.6450000000000001E-2</v>
      </c>
      <c r="P35" s="32">
        <v>2.6700000000000002E-2</v>
      </c>
      <c r="Q35" s="32">
        <v>2.6929999999999999E-2</v>
      </c>
    </row>
    <row r="36" spans="2:17" x14ac:dyDescent="0.25">
      <c r="B36" s="10" t="s">
        <v>39</v>
      </c>
      <c r="C36" s="32">
        <v>2.3269999999999999E-2</v>
      </c>
      <c r="D36" s="32">
        <v>2.332E-2</v>
      </c>
      <c r="E36" s="32">
        <v>2.3300000000000001E-2</v>
      </c>
      <c r="F36" s="32">
        <v>2.351E-2</v>
      </c>
      <c r="G36" s="32">
        <v>2.383E-2</v>
      </c>
      <c r="H36" s="32">
        <v>2.4199999999999999E-2</v>
      </c>
      <c r="I36" s="32">
        <v>2.4570000000000002E-2</v>
      </c>
      <c r="J36" s="32">
        <v>2.4930000000000001E-2</v>
      </c>
      <c r="K36" s="32">
        <v>2.528E-2</v>
      </c>
      <c r="L36" s="32">
        <v>2.5600000000000001E-2</v>
      </c>
      <c r="M36" s="32">
        <v>2.5899999999999999E-2</v>
      </c>
      <c r="N36" s="32">
        <v>2.6190000000000001E-2</v>
      </c>
      <c r="O36" s="32">
        <v>2.6450000000000001E-2</v>
      </c>
      <c r="P36" s="32">
        <v>2.6700000000000002E-2</v>
      </c>
      <c r="Q36" s="32">
        <v>2.6929999999999999E-2</v>
      </c>
    </row>
    <row r="37" spans="2:17" x14ac:dyDescent="0.25">
      <c r="B37" s="10" t="s">
        <v>40</v>
      </c>
      <c r="C37" s="32">
        <v>2.3269999999999999E-2</v>
      </c>
      <c r="D37" s="32">
        <v>2.332E-2</v>
      </c>
      <c r="E37" s="32">
        <v>2.3300000000000001E-2</v>
      </c>
      <c r="F37" s="32">
        <v>2.351E-2</v>
      </c>
      <c r="G37" s="32">
        <v>2.383E-2</v>
      </c>
      <c r="H37" s="32">
        <v>2.4199999999999999E-2</v>
      </c>
      <c r="I37" s="32">
        <v>2.4570000000000002E-2</v>
      </c>
      <c r="J37" s="32">
        <v>2.4930000000000001E-2</v>
      </c>
      <c r="K37" s="32">
        <v>2.528E-2</v>
      </c>
      <c r="L37" s="32">
        <v>2.5600000000000001E-2</v>
      </c>
      <c r="M37" s="32">
        <v>2.5899999999999999E-2</v>
      </c>
      <c r="N37" s="32">
        <v>2.6190000000000001E-2</v>
      </c>
      <c r="O37" s="32">
        <v>2.6450000000000001E-2</v>
      </c>
      <c r="P37" s="32">
        <v>2.6700000000000002E-2</v>
      </c>
      <c r="Q37" s="32">
        <v>2.6929999999999999E-2</v>
      </c>
    </row>
    <row r="38" spans="2:17" x14ac:dyDescent="0.25">
      <c r="B38" s="10" t="s">
        <v>41</v>
      </c>
      <c r="C38" s="32">
        <v>2.3269999999999999E-2</v>
      </c>
      <c r="D38" s="32">
        <v>2.332E-2</v>
      </c>
      <c r="E38" s="32">
        <v>2.3300000000000001E-2</v>
      </c>
      <c r="F38" s="32">
        <v>2.351E-2</v>
      </c>
      <c r="G38" s="32">
        <v>2.383E-2</v>
      </c>
      <c r="H38" s="32">
        <v>2.4199999999999999E-2</v>
      </c>
      <c r="I38" s="32">
        <v>2.4570000000000002E-2</v>
      </c>
      <c r="J38" s="32">
        <v>2.4930000000000001E-2</v>
      </c>
      <c r="K38" s="32">
        <v>2.528E-2</v>
      </c>
      <c r="L38" s="32">
        <v>2.5600000000000001E-2</v>
      </c>
      <c r="M38" s="32">
        <v>2.5899999999999999E-2</v>
      </c>
      <c r="N38" s="32">
        <v>2.6190000000000001E-2</v>
      </c>
      <c r="O38" s="32">
        <v>2.6450000000000001E-2</v>
      </c>
      <c r="P38" s="32">
        <v>2.6700000000000002E-2</v>
      </c>
      <c r="Q38" s="32">
        <v>2.6929999999999999E-2</v>
      </c>
    </row>
    <row r="39" spans="2:17" x14ac:dyDescent="0.25">
      <c r="B39" s="10" t="s">
        <v>42</v>
      </c>
      <c r="C39" s="32">
        <v>2.3269999999999999E-2</v>
      </c>
      <c r="D39" s="32">
        <v>2.332E-2</v>
      </c>
      <c r="E39" s="32">
        <v>2.3300000000000001E-2</v>
      </c>
      <c r="F39" s="32">
        <v>2.351E-2</v>
      </c>
      <c r="G39" s="32">
        <v>2.383E-2</v>
      </c>
      <c r="H39" s="32">
        <v>2.4199999999999999E-2</v>
      </c>
      <c r="I39" s="32">
        <v>2.4570000000000002E-2</v>
      </c>
      <c r="J39" s="32">
        <v>2.4930000000000001E-2</v>
      </c>
      <c r="K39" s="32">
        <v>2.528E-2</v>
      </c>
      <c r="L39" s="32">
        <v>2.5600000000000001E-2</v>
      </c>
      <c r="M39" s="32">
        <v>2.5899999999999999E-2</v>
      </c>
      <c r="N39" s="32">
        <v>2.6190000000000001E-2</v>
      </c>
      <c r="O39" s="32">
        <v>2.6450000000000001E-2</v>
      </c>
      <c r="P39" s="32">
        <v>2.6700000000000002E-2</v>
      </c>
      <c r="Q39" s="32">
        <v>2.6929999999999999E-2</v>
      </c>
    </row>
    <row r="40" spans="2:17" x14ac:dyDescent="0.25">
      <c r="B40" s="10" t="s">
        <v>43</v>
      </c>
      <c r="C40" s="32">
        <v>2.3269999999999999E-2</v>
      </c>
      <c r="D40" s="32">
        <v>2.332E-2</v>
      </c>
      <c r="E40" s="32">
        <v>2.3300000000000001E-2</v>
      </c>
      <c r="F40" s="32">
        <v>2.351E-2</v>
      </c>
      <c r="G40" s="32">
        <v>2.383E-2</v>
      </c>
      <c r="H40" s="32">
        <v>2.4199999999999999E-2</v>
      </c>
      <c r="I40" s="32">
        <v>2.4570000000000002E-2</v>
      </c>
      <c r="J40" s="32">
        <v>2.4930000000000001E-2</v>
      </c>
      <c r="K40" s="32">
        <v>2.528E-2</v>
      </c>
      <c r="L40" s="32">
        <v>2.5600000000000001E-2</v>
      </c>
      <c r="M40" s="32">
        <v>2.5899999999999999E-2</v>
      </c>
      <c r="N40" s="32">
        <v>2.6190000000000001E-2</v>
      </c>
      <c r="O40" s="32">
        <v>2.6450000000000001E-2</v>
      </c>
      <c r="P40" s="32">
        <v>2.6700000000000002E-2</v>
      </c>
      <c r="Q40" s="32">
        <v>2.6929999999999999E-2</v>
      </c>
    </row>
    <row r="41" spans="2:17" x14ac:dyDescent="0.25">
      <c r="B41" s="10" t="s">
        <v>48</v>
      </c>
      <c r="C41" s="32">
        <v>2.3269999999999999E-2</v>
      </c>
      <c r="D41" s="32">
        <v>2.332E-2</v>
      </c>
      <c r="E41" s="32">
        <v>2.3300000000000001E-2</v>
      </c>
      <c r="F41" s="32">
        <v>2.351E-2</v>
      </c>
      <c r="G41" s="32">
        <v>2.383E-2</v>
      </c>
      <c r="H41" s="32">
        <v>2.4199999999999999E-2</v>
      </c>
      <c r="I41" s="32">
        <v>2.4570000000000002E-2</v>
      </c>
      <c r="J41" s="32">
        <v>2.4930000000000001E-2</v>
      </c>
      <c r="K41" s="32">
        <v>2.528E-2</v>
      </c>
      <c r="L41" s="32">
        <v>2.5600000000000001E-2</v>
      </c>
      <c r="M41" s="32">
        <v>2.5899999999999999E-2</v>
      </c>
      <c r="N41" s="32">
        <v>2.6190000000000001E-2</v>
      </c>
      <c r="O41" s="32">
        <v>2.6450000000000001E-2</v>
      </c>
      <c r="P41" s="32">
        <v>2.6700000000000002E-2</v>
      </c>
      <c r="Q41" s="32">
        <v>2.6929999999999999E-2</v>
      </c>
    </row>
    <row r="42" spans="2:17" x14ac:dyDescent="0.25">
      <c r="B42" s="10" t="s">
        <v>44</v>
      </c>
      <c r="C42" s="32">
        <v>2.3269999999999999E-2</v>
      </c>
      <c r="D42" s="32">
        <v>2.332E-2</v>
      </c>
      <c r="E42" s="32">
        <v>2.3300000000000001E-2</v>
      </c>
      <c r="F42" s="32">
        <v>2.351E-2</v>
      </c>
      <c r="G42" s="32">
        <v>2.383E-2</v>
      </c>
      <c r="H42" s="32">
        <v>2.4199999999999999E-2</v>
      </c>
      <c r="I42" s="32">
        <v>2.4570000000000002E-2</v>
      </c>
      <c r="J42" s="32">
        <v>2.4930000000000001E-2</v>
      </c>
      <c r="K42" s="32">
        <v>2.528E-2</v>
      </c>
      <c r="L42" s="32">
        <v>2.5600000000000001E-2</v>
      </c>
      <c r="M42" s="32">
        <v>2.5899999999999999E-2</v>
      </c>
      <c r="N42" s="32">
        <v>2.6190000000000001E-2</v>
      </c>
      <c r="O42" s="32">
        <v>2.6450000000000001E-2</v>
      </c>
      <c r="P42" s="32">
        <v>2.6700000000000002E-2</v>
      </c>
      <c r="Q42" s="32">
        <v>2.6929999999999999E-2</v>
      </c>
    </row>
    <row r="43" spans="2:17" x14ac:dyDescent="0.25">
      <c r="B43" s="10" t="s">
        <v>45</v>
      </c>
      <c r="C43" s="32">
        <v>2.3269999999999999E-2</v>
      </c>
      <c r="D43" s="32">
        <v>2.332E-2</v>
      </c>
      <c r="E43" s="32">
        <v>2.3300000000000001E-2</v>
      </c>
      <c r="F43" s="32">
        <v>2.351E-2</v>
      </c>
      <c r="G43" s="32">
        <v>2.383E-2</v>
      </c>
      <c r="H43" s="32">
        <v>2.4199999999999999E-2</v>
      </c>
      <c r="I43" s="32">
        <v>2.4570000000000002E-2</v>
      </c>
      <c r="J43" s="32">
        <v>2.4930000000000001E-2</v>
      </c>
      <c r="K43" s="32">
        <v>2.528E-2</v>
      </c>
      <c r="L43" s="32">
        <v>2.5600000000000001E-2</v>
      </c>
      <c r="M43" s="32">
        <v>2.5899999999999999E-2</v>
      </c>
      <c r="N43" s="32">
        <v>2.6190000000000001E-2</v>
      </c>
      <c r="O43" s="32">
        <v>2.6450000000000001E-2</v>
      </c>
      <c r="P43" s="32">
        <v>2.6700000000000002E-2</v>
      </c>
      <c r="Q43" s="32">
        <v>2.6929999999999999E-2</v>
      </c>
    </row>
    <row r="44" spans="2:17" x14ac:dyDescent="0.25">
      <c r="B44" s="10" t="s">
        <v>46</v>
      </c>
      <c r="C44" s="32">
        <v>2.3269999999999999E-2</v>
      </c>
      <c r="D44" s="32">
        <v>2.332E-2</v>
      </c>
      <c r="E44" s="32">
        <v>2.3300000000000001E-2</v>
      </c>
      <c r="F44" s="32">
        <v>2.351E-2</v>
      </c>
      <c r="G44" s="32">
        <v>2.383E-2</v>
      </c>
      <c r="H44" s="32">
        <v>2.4199999999999999E-2</v>
      </c>
      <c r="I44" s="32">
        <v>2.4570000000000002E-2</v>
      </c>
      <c r="J44" s="32">
        <v>2.4930000000000001E-2</v>
      </c>
      <c r="K44" s="32">
        <v>2.528E-2</v>
      </c>
      <c r="L44" s="32">
        <v>2.5600000000000001E-2</v>
      </c>
      <c r="M44" s="32">
        <v>2.5899999999999999E-2</v>
      </c>
      <c r="N44" s="32">
        <v>2.6190000000000001E-2</v>
      </c>
      <c r="O44" s="32">
        <v>2.6450000000000001E-2</v>
      </c>
      <c r="P44" s="32">
        <v>2.6700000000000002E-2</v>
      </c>
      <c r="Q44" s="32">
        <v>2.6929999999999999E-2</v>
      </c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/>
  <dimension ref="B1:AI246"/>
  <sheetViews>
    <sheetView showGridLines="0" zoomScale="85" zoomScaleNormal="85" workbookViewId="0">
      <selection activeCell="T7" sqref="T7"/>
    </sheetView>
  </sheetViews>
  <sheetFormatPr defaultRowHeight="15" outlineLevelRow="1" x14ac:dyDescent="0.25"/>
  <cols>
    <col min="2" max="2" width="34.7109375" bestFit="1" customWidth="1"/>
    <col min="20" max="20" width="36" bestFit="1" customWidth="1"/>
  </cols>
  <sheetData>
    <row r="1" spans="2:35" x14ac:dyDescent="0.25"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</row>
    <row r="2" spans="2:35" x14ac:dyDescent="0.25">
      <c r="B2" s="33" t="s">
        <v>112</v>
      </c>
    </row>
    <row r="3" spans="2:35" outlineLevel="1" x14ac:dyDescent="0.25">
      <c r="B3" s="2" t="s">
        <v>16</v>
      </c>
      <c r="C3" s="2" t="s">
        <v>82</v>
      </c>
      <c r="D3" s="2" t="s">
        <v>83</v>
      </c>
      <c r="E3" s="2" t="s">
        <v>84</v>
      </c>
      <c r="F3" s="2" t="s">
        <v>85</v>
      </c>
      <c r="G3" s="2" t="s">
        <v>86</v>
      </c>
      <c r="H3" s="2" t="s">
        <v>87</v>
      </c>
      <c r="I3" s="2" t="s">
        <v>88</v>
      </c>
      <c r="J3" s="2" t="s">
        <v>89</v>
      </c>
      <c r="K3" s="2" t="s">
        <v>90</v>
      </c>
      <c r="L3" s="2" t="s">
        <v>91</v>
      </c>
      <c r="M3" s="2" t="s">
        <v>92</v>
      </c>
      <c r="N3" s="2" t="s">
        <v>93</v>
      </c>
      <c r="O3" s="2" t="s">
        <v>94</v>
      </c>
      <c r="P3" s="2" t="s">
        <v>95</v>
      </c>
      <c r="Q3" s="2" t="s">
        <v>96</v>
      </c>
    </row>
    <row r="4" spans="2:35" outlineLevel="1" x14ac:dyDescent="0.25">
      <c r="B4" s="10" t="s">
        <v>97</v>
      </c>
      <c r="C4" s="32">
        <v>0.35</v>
      </c>
      <c r="D4" s="32">
        <v>0.4</v>
      </c>
      <c r="E4" s="32">
        <v>0.2</v>
      </c>
      <c r="F4" s="32">
        <v>0.05</v>
      </c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</row>
    <row r="5" spans="2:35" outlineLevel="1" x14ac:dyDescent="0.25">
      <c r="B5" s="10" t="s">
        <v>98</v>
      </c>
      <c r="C5" s="32">
        <v>0.35</v>
      </c>
      <c r="D5" s="32">
        <v>0.4</v>
      </c>
      <c r="E5" s="32">
        <v>0.2</v>
      </c>
      <c r="F5" s="32">
        <v>0.05</v>
      </c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</row>
    <row r="6" spans="2:35" outlineLevel="1" x14ac:dyDescent="0.25">
      <c r="B6" s="10" t="s">
        <v>99</v>
      </c>
      <c r="C6" s="32">
        <v>0.35</v>
      </c>
      <c r="D6" s="32">
        <v>0.4</v>
      </c>
      <c r="E6" s="32">
        <v>0.2</v>
      </c>
      <c r="F6" s="32">
        <v>0.05</v>
      </c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</row>
    <row r="7" spans="2:35" outlineLevel="1" x14ac:dyDescent="0.25">
      <c r="B7" s="10" t="s">
        <v>100</v>
      </c>
      <c r="C7" s="32">
        <v>0.35</v>
      </c>
      <c r="D7" s="32">
        <v>0.4</v>
      </c>
      <c r="E7" s="32">
        <v>0.2</v>
      </c>
      <c r="F7" s="32">
        <v>0.05</v>
      </c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</row>
    <row r="8" spans="2:35" outlineLevel="1" x14ac:dyDescent="0.25">
      <c r="B8" s="10" t="s">
        <v>101</v>
      </c>
      <c r="C8" s="32">
        <v>0.35</v>
      </c>
      <c r="D8" s="32">
        <v>0.4</v>
      </c>
      <c r="E8" s="32">
        <v>0.2</v>
      </c>
      <c r="F8" s="32">
        <v>0.05</v>
      </c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</row>
    <row r="9" spans="2:35" outlineLevel="1" x14ac:dyDescent="0.25">
      <c r="B9" s="10" t="s">
        <v>102</v>
      </c>
      <c r="C9" s="32">
        <v>0.35</v>
      </c>
      <c r="D9" s="32">
        <v>0.4</v>
      </c>
      <c r="E9" s="32">
        <v>0.2</v>
      </c>
      <c r="F9" s="32">
        <v>0.05</v>
      </c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</row>
    <row r="10" spans="2:35" outlineLevel="1" x14ac:dyDescent="0.25">
      <c r="B10" s="10" t="s">
        <v>103</v>
      </c>
      <c r="C10" s="32">
        <v>0.35</v>
      </c>
      <c r="D10" s="32">
        <v>0.4</v>
      </c>
      <c r="E10" s="32">
        <v>0.2</v>
      </c>
      <c r="F10" s="32">
        <v>0.05</v>
      </c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</row>
    <row r="11" spans="2:35" outlineLevel="1" x14ac:dyDescent="0.25">
      <c r="B11" s="10" t="s">
        <v>104</v>
      </c>
      <c r="C11" s="32">
        <v>0.35</v>
      </c>
      <c r="D11" s="32">
        <v>0.4</v>
      </c>
      <c r="E11" s="32">
        <v>0.2</v>
      </c>
      <c r="F11" s="32">
        <v>0.05</v>
      </c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</row>
    <row r="12" spans="2:35" outlineLevel="1" x14ac:dyDescent="0.25">
      <c r="B12" s="10" t="s">
        <v>105</v>
      </c>
      <c r="C12" s="32">
        <v>0.35</v>
      </c>
      <c r="D12" s="32">
        <v>0.4</v>
      </c>
      <c r="E12" s="32">
        <v>0.2</v>
      </c>
      <c r="F12" s="32">
        <v>0.05</v>
      </c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</row>
    <row r="13" spans="2:35" outlineLevel="1" x14ac:dyDescent="0.25">
      <c r="B13" s="10" t="s">
        <v>106</v>
      </c>
      <c r="C13" s="32">
        <v>0.35</v>
      </c>
      <c r="D13" s="32">
        <v>0.4</v>
      </c>
      <c r="E13" s="32">
        <v>0.2</v>
      </c>
      <c r="F13" s="32">
        <v>0.05</v>
      </c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</row>
    <row r="14" spans="2:35" outlineLevel="1" x14ac:dyDescent="0.25">
      <c r="B14" s="10" t="s">
        <v>107</v>
      </c>
      <c r="C14" s="32">
        <v>0.24</v>
      </c>
      <c r="D14" s="32">
        <v>0.4</v>
      </c>
      <c r="E14" s="32">
        <v>0.21</v>
      </c>
      <c r="F14" s="32">
        <v>0.12</v>
      </c>
      <c r="G14" s="32">
        <f>1-SUM(C14:F14)</f>
        <v>3.0000000000000027E-2</v>
      </c>
      <c r="H14" s="32"/>
      <c r="I14" s="32"/>
      <c r="J14" s="32"/>
      <c r="K14" s="32"/>
      <c r="L14" s="32"/>
      <c r="M14" s="32"/>
      <c r="N14" s="32"/>
      <c r="O14" s="32"/>
      <c r="P14" s="32"/>
      <c r="Q14" s="32"/>
    </row>
    <row r="15" spans="2:35" outlineLevel="1" x14ac:dyDescent="0.25">
      <c r="B15" s="10" t="s">
        <v>108</v>
      </c>
      <c r="C15" s="32">
        <v>0.24</v>
      </c>
      <c r="D15" s="32">
        <v>0.4</v>
      </c>
      <c r="E15" s="32">
        <v>0.21</v>
      </c>
      <c r="F15" s="32">
        <v>0.12</v>
      </c>
      <c r="G15" s="32">
        <f>1-SUM(C15:F15)</f>
        <v>3.0000000000000027E-2</v>
      </c>
      <c r="H15" s="32"/>
      <c r="I15" s="32"/>
      <c r="J15" s="32"/>
      <c r="K15" s="32"/>
      <c r="L15" s="32"/>
      <c r="M15" s="32"/>
      <c r="N15" s="32"/>
      <c r="O15" s="32"/>
      <c r="P15" s="32"/>
      <c r="Q15" s="32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</row>
    <row r="16" spans="2:35" outlineLevel="1" x14ac:dyDescent="0.25">
      <c r="B16" s="10" t="s">
        <v>47</v>
      </c>
      <c r="C16" s="32">
        <v>0.24</v>
      </c>
      <c r="D16" s="32">
        <v>0.4</v>
      </c>
      <c r="E16" s="32">
        <v>0.21</v>
      </c>
      <c r="F16" s="32">
        <v>0.12</v>
      </c>
      <c r="G16" s="32">
        <f>1-SUM(C16:F16)</f>
        <v>3.0000000000000027E-2</v>
      </c>
      <c r="H16" s="32"/>
      <c r="I16" s="32"/>
      <c r="J16" s="32"/>
      <c r="K16" s="32"/>
      <c r="L16" s="32"/>
      <c r="M16" s="32"/>
      <c r="N16" s="32"/>
      <c r="O16" s="32"/>
      <c r="P16" s="32"/>
      <c r="Q16" s="32"/>
    </row>
    <row r="17" spans="2:17" outlineLevel="1" x14ac:dyDescent="0.25">
      <c r="B17" s="10" t="s">
        <v>109</v>
      </c>
      <c r="C17" s="32">
        <v>0.03</v>
      </c>
      <c r="D17" s="32">
        <v>0.15</v>
      </c>
      <c r="E17" s="32">
        <v>0.16</v>
      </c>
      <c r="F17" s="32">
        <v>0.14000000000000001</v>
      </c>
      <c r="G17" s="32">
        <v>0.09</v>
      </c>
      <c r="H17" s="32">
        <v>0.08</v>
      </c>
      <c r="I17" s="32">
        <v>0.06</v>
      </c>
      <c r="J17" s="32">
        <v>0.06</v>
      </c>
      <c r="K17" s="32">
        <v>0.05</v>
      </c>
      <c r="L17" s="32">
        <v>0.04</v>
      </c>
      <c r="M17" s="32">
        <v>0.03</v>
      </c>
      <c r="N17" s="32">
        <v>0.03</v>
      </c>
      <c r="O17" s="32">
        <v>0.08</v>
      </c>
      <c r="P17" s="32"/>
      <c r="Q17" s="32"/>
    </row>
    <row r="18" spans="2:17" outlineLevel="1" x14ac:dyDescent="0.25">
      <c r="B18" s="10" t="s">
        <v>110</v>
      </c>
      <c r="C18" s="32">
        <v>0.03</v>
      </c>
      <c r="D18" s="32">
        <v>0.15</v>
      </c>
      <c r="E18" s="32">
        <v>0.16</v>
      </c>
      <c r="F18" s="32">
        <v>0.14000000000000001</v>
      </c>
      <c r="G18" s="32">
        <v>0.09</v>
      </c>
      <c r="H18" s="32">
        <v>0.08</v>
      </c>
      <c r="I18" s="32">
        <v>0.06</v>
      </c>
      <c r="J18" s="32">
        <v>0.06</v>
      </c>
      <c r="K18" s="32">
        <v>0.05</v>
      </c>
      <c r="L18" s="32">
        <v>0.04</v>
      </c>
      <c r="M18" s="32">
        <v>0.03</v>
      </c>
      <c r="N18" s="32">
        <v>0.03</v>
      </c>
      <c r="O18" s="32">
        <v>0.08</v>
      </c>
      <c r="P18" s="32"/>
      <c r="Q18" s="32"/>
    </row>
    <row r="19" spans="2:17" outlineLevel="1" x14ac:dyDescent="0.25">
      <c r="B19" s="10" t="s">
        <v>111</v>
      </c>
      <c r="C19" s="32">
        <v>0.03</v>
      </c>
      <c r="D19" s="32">
        <v>0.15</v>
      </c>
      <c r="E19" s="32">
        <v>0.16</v>
      </c>
      <c r="F19" s="32">
        <v>0.14000000000000001</v>
      </c>
      <c r="G19" s="32">
        <v>0.09</v>
      </c>
      <c r="H19" s="32">
        <v>0.08</v>
      </c>
      <c r="I19" s="32">
        <v>0.06</v>
      </c>
      <c r="J19" s="32">
        <v>0.06</v>
      </c>
      <c r="K19" s="32">
        <v>0.05</v>
      </c>
      <c r="L19" s="32">
        <v>0.04</v>
      </c>
      <c r="M19" s="32">
        <v>0.03</v>
      </c>
      <c r="N19" s="32">
        <v>0.03</v>
      </c>
      <c r="O19" s="32">
        <v>0.08</v>
      </c>
      <c r="P19" s="32"/>
      <c r="Q19" s="32"/>
    </row>
    <row r="20" spans="2:17" outlineLevel="1" x14ac:dyDescent="0.25">
      <c r="B20" s="10" t="s">
        <v>38</v>
      </c>
      <c r="C20" s="32">
        <v>0.03</v>
      </c>
      <c r="D20" s="32">
        <v>0.15</v>
      </c>
      <c r="E20" s="32">
        <v>0.16</v>
      </c>
      <c r="F20" s="32">
        <v>0.14000000000000001</v>
      </c>
      <c r="G20" s="32">
        <v>0.09</v>
      </c>
      <c r="H20" s="32">
        <v>0.08</v>
      </c>
      <c r="I20" s="32">
        <v>0.06</v>
      </c>
      <c r="J20" s="32">
        <v>0.06</v>
      </c>
      <c r="K20" s="32">
        <v>0.05</v>
      </c>
      <c r="L20" s="32">
        <v>0.04</v>
      </c>
      <c r="M20" s="32">
        <v>0.03</v>
      </c>
      <c r="N20" s="32">
        <v>0.03</v>
      </c>
      <c r="O20" s="32">
        <v>0.08</v>
      </c>
      <c r="P20" s="32"/>
      <c r="Q20" s="32"/>
    </row>
    <row r="21" spans="2:17" outlineLevel="1" x14ac:dyDescent="0.25">
      <c r="B21" s="10" t="s">
        <v>23</v>
      </c>
      <c r="C21" s="32">
        <v>0.03</v>
      </c>
      <c r="D21" s="32">
        <v>0.15</v>
      </c>
      <c r="E21" s="32">
        <v>0.16</v>
      </c>
      <c r="F21" s="32">
        <v>0.14000000000000001</v>
      </c>
      <c r="G21" s="32">
        <v>0.09</v>
      </c>
      <c r="H21" s="32">
        <v>0.08</v>
      </c>
      <c r="I21" s="32">
        <v>0.06</v>
      </c>
      <c r="J21" s="32">
        <v>0.06</v>
      </c>
      <c r="K21" s="32">
        <v>0.05</v>
      </c>
      <c r="L21" s="32">
        <v>0.04</v>
      </c>
      <c r="M21" s="32">
        <v>0.03</v>
      </c>
      <c r="N21" s="32">
        <v>0.03</v>
      </c>
      <c r="O21" s="32">
        <v>0.08</v>
      </c>
      <c r="P21" s="32"/>
      <c r="Q21" s="32"/>
    </row>
    <row r="22" spans="2:17" outlineLevel="1" x14ac:dyDescent="0.25">
      <c r="B22" s="10" t="s">
        <v>24</v>
      </c>
      <c r="C22" s="32">
        <v>0.03</v>
      </c>
      <c r="D22" s="32">
        <v>0.15</v>
      </c>
      <c r="E22" s="32">
        <v>0.16</v>
      </c>
      <c r="F22" s="32">
        <v>0.14000000000000001</v>
      </c>
      <c r="G22" s="32">
        <v>0.09</v>
      </c>
      <c r="H22" s="32">
        <v>0.08</v>
      </c>
      <c r="I22" s="32">
        <v>0.06</v>
      </c>
      <c r="J22" s="32">
        <v>0.06</v>
      </c>
      <c r="K22" s="32">
        <v>0.05</v>
      </c>
      <c r="L22" s="32">
        <v>0.04</v>
      </c>
      <c r="M22" s="32">
        <v>0.03</v>
      </c>
      <c r="N22" s="32">
        <v>0.03</v>
      </c>
      <c r="O22" s="32">
        <v>0.08</v>
      </c>
      <c r="P22" s="32"/>
      <c r="Q22" s="32"/>
    </row>
    <row r="23" spans="2:17" outlineLevel="1" x14ac:dyDescent="0.25">
      <c r="B23" s="10" t="s">
        <v>25</v>
      </c>
      <c r="C23" s="32">
        <v>0.03</v>
      </c>
      <c r="D23" s="32">
        <v>0.15</v>
      </c>
      <c r="E23" s="32">
        <v>0.16</v>
      </c>
      <c r="F23" s="32">
        <v>0.14000000000000001</v>
      </c>
      <c r="G23" s="32">
        <v>0.09</v>
      </c>
      <c r="H23" s="32">
        <v>0.08</v>
      </c>
      <c r="I23" s="32">
        <v>0.06</v>
      </c>
      <c r="J23" s="32">
        <v>0.06</v>
      </c>
      <c r="K23" s="32">
        <v>0.05</v>
      </c>
      <c r="L23" s="32">
        <v>0.04</v>
      </c>
      <c r="M23" s="32">
        <v>0.03</v>
      </c>
      <c r="N23" s="32">
        <v>0.03</v>
      </c>
      <c r="O23" s="32">
        <v>0.08</v>
      </c>
      <c r="P23" s="32"/>
      <c r="Q23" s="32"/>
    </row>
    <row r="24" spans="2:17" outlineLevel="1" x14ac:dyDescent="0.25">
      <c r="B24" s="10" t="s">
        <v>26</v>
      </c>
      <c r="C24" s="32">
        <v>0.35</v>
      </c>
      <c r="D24" s="32">
        <v>0.33</v>
      </c>
      <c r="E24" s="32">
        <v>0.08</v>
      </c>
      <c r="F24" s="32">
        <v>0.08</v>
      </c>
      <c r="G24" s="32">
        <v>0</v>
      </c>
      <c r="H24" s="32">
        <v>0.04</v>
      </c>
      <c r="I24" s="32">
        <v>0.03</v>
      </c>
      <c r="J24" s="32">
        <v>0.09</v>
      </c>
      <c r="K24" s="32"/>
      <c r="L24" s="32"/>
      <c r="M24" s="32"/>
      <c r="N24" s="32"/>
      <c r="O24" s="32"/>
      <c r="P24" s="32"/>
      <c r="Q24" s="32"/>
    </row>
    <row r="25" spans="2:17" outlineLevel="1" x14ac:dyDescent="0.25">
      <c r="B25" s="10" t="s">
        <v>27</v>
      </c>
      <c r="C25" s="32">
        <v>0.03</v>
      </c>
      <c r="D25" s="32">
        <v>0.15</v>
      </c>
      <c r="E25" s="32">
        <v>0.16</v>
      </c>
      <c r="F25" s="32">
        <v>0.14000000000000001</v>
      </c>
      <c r="G25" s="32">
        <v>0.09</v>
      </c>
      <c r="H25" s="32">
        <v>0.08</v>
      </c>
      <c r="I25" s="32">
        <v>0.06</v>
      </c>
      <c r="J25" s="32">
        <v>0.06</v>
      </c>
      <c r="K25" s="32">
        <v>0.05</v>
      </c>
      <c r="L25" s="32">
        <v>0.04</v>
      </c>
      <c r="M25" s="32">
        <v>0.03</v>
      </c>
      <c r="N25" s="32">
        <v>0.03</v>
      </c>
      <c r="O25" s="32">
        <v>0.08</v>
      </c>
      <c r="P25" s="32"/>
      <c r="Q25" s="32"/>
    </row>
    <row r="26" spans="2:17" outlineLevel="1" x14ac:dyDescent="0.25">
      <c r="B26" s="10" t="s">
        <v>28</v>
      </c>
      <c r="C26" s="32">
        <v>0.03</v>
      </c>
      <c r="D26" s="32">
        <v>0.15</v>
      </c>
      <c r="E26" s="32">
        <v>0.16</v>
      </c>
      <c r="F26" s="32">
        <v>0.14000000000000001</v>
      </c>
      <c r="G26" s="32">
        <v>0.09</v>
      </c>
      <c r="H26" s="32">
        <v>0.08</v>
      </c>
      <c r="I26" s="32">
        <v>0.06</v>
      </c>
      <c r="J26" s="32">
        <v>0.06</v>
      </c>
      <c r="K26" s="32">
        <v>0.05</v>
      </c>
      <c r="L26" s="32">
        <v>0.04</v>
      </c>
      <c r="M26" s="32">
        <v>0.03</v>
      </c>
      <c r="N26" s="32">
        <v>0.03</v>
      </c>
      <c r="O26" s="32">
        <v>0.08</v>
      </c>
      <c r="P26" s="32"/>
      <c r="Q26" s="32"/>
    </row>
    <row r="27" spans="2:17" outlineLevel="1" x14ac:dyDescent="0.25">
      <c r="B27" s="10" t="s">
        <v>29</v>
      </c>
      <c r="C27" s="32">
        <v>0.03</v>
      </c>
      <c r="D27" s="32">
        <v>0.15</v>
      </c>
      <c r="E27" s="32">
        <v>0.16</v>
      </c>
      <c r="F27" s="32">
        <v>0.14000000000000001</v>
      </c>
      <c r="G27" s="32">
        <v>0.09</v>
      </c>
      <c r="H27" s="32">
        <v>0.08</v>
      </c>
      <c r="I27" s="32">
        <v>0.06</v>
      </c>
      <c r="J27" s="32">
        <v>0.06</v>
      </c>
      <c r="K27" s="32">
        <v>0.05</v>
      </c>
      <c r="L27" s="32">
        <v>0.04</v>
      </c>
      <c r="M27" s="32">
        <v>0.03</v>
      </c>
      <c r="N27" s="32">
        <v>0.03</v>
      </c>
      <c r="O27" s="32">
        <v>0.08</v>
      </c>
      <c r="P27" s="32"/>
      <c r="Q27" s="32"/>
    </row>
    <row r="28" spans="2:17" outlineLevel="1" x14ac:dyDescent="0.25">
      <c r="B28" s="10" t="s">
        <v>30</v>
      </c>
      <c r="C28" s="32">
        <v>0.24</v>
      </c>
      <c r="D28" s="32">
        <v>0.4</v>
      </c>
      <c r="E28" s="32">
        <v>0.21</v>
      </c>
      <c r="F28" s="32">
        <v>0.12</v>
      </c>
      <c r="G28" s="32">
        <f>1-SUM(C28:F28)</f>
        <v>3.0000000000000027E-2</v>
      </c>
      <c r="H28" s="32"/>
      <c r="I28" s="32"/>
      <c r="J28" s="32"/>
      <c r="K28" s="32"/>
      <c r="L28" s="32"/>
      <c r="M28" s="32"/>
      <c r="N28" s="32"/>
      <c r="O28" s="32"/>
      <c r="P28" s="32"/>
      <c r="Q28" s="32"/>
    </row>
    <row r="29" spans="2:17" outlineLevel="1" x14ac:dyDescent="0.25">
      <c r="B29" s="10" t="s">
        <v>31</v>
      </c>
      <c r="C29" s="32">
        <v>0.35</v>
      </c>
      <c r="D29" s="32">
        <v>0.33</v>
      </c>
      <c r="E29" s="32">
        <v>0.08</v>
      </c>
      <c r="F29" s="32">
        <v>0.08</v>
      </c>
      <c r="G29" s="32">
        <v>0</v>
      </c>
      <c r="H29" s="32">
        <v>0.04</v>
      </c>
      <c r="I29" s="32">
        <v>0.03</v>
      </c>
      <c r="J29" s="32">
        <v>0.09</v>
      </c>
      <c r="K29" s="32"/>
      <c r="L29" s="32"/>
      <c r="M29" s="32"/>
      <c r="N29" s="32"/>
      <c r="O29" s="32"/>
      <c r="P29" s="32"/>
      <c r="Q29" s="32"/>
    </row>
    <row r="30" spans="2:17" outlineLevel="1" x14ac:dyDescent="0.25">
      <c r="B30" s="10" t="s">
        <v>32</v>
      </c>
      <c r="C30" s="32">
        <v>0.35</v>
      </c>
      <c r="D30" s="32">
        <v>0.33</v>
      </c>
      <c r="E30" s="32">
        <v>0.08</v>
      </c>
      <c r="F30" s="32">
        <v>0.08</v>
      </c>
      <c r="G30" s="32">
        <v>0</v>
      </c>
      <c r="H30" s="32">
        <v>0.04</v>
      </c>
      <c r="I30" s="32">
        <v>0.03</v>
      </c>
      <c r="J30" s="32">
        <v>0.09</v>
      </c>
      <c r="K30" s="32"/>
      <c r="L30" s="32"/>
      <c r="M30" s="32"/>
      <c r="N30" s="32"/>
      <c r="O30" s="32"/>
      <c r="P30" s="32"/>
      <c r="Q30" s="32"/>
    </row>
    <row r="31" spans="2:17" outlineLevel="1" x14ac:dyDescent="0.25">
      <c r="B31" s="10" t="s">
        <v>33</v>
      </c>
      <c r="C31" s="32">
        <v>0.35</v>
      </c>
      <c r="D31" s="32">
        <v>0.33</v>
      </c>
      <c r="E31" s="32">
        <v>0.08</v>
      </c>
      <c r="F31" s="32">
        <v>0.08</v>
      </c>
      <c r="G31" s="32">
        <v>0</v>
      </c>
      <c r="H31" s="32">
        <v>0.04</v>
      </c>
      <c r="I31" s="32">
        <v>0.03</v>
      </c>
      <c r="J31" s="32">
        <v>0.09</v>
      </c>
      <c r="K31" s="32"/>
      <c r="L31" s="32"/>
      <c r="M31" s="32"/>
      <c r="N31" s="32"/>
      <c r="O31" s="32"/>
      <c r="P31" s="32"/>
      <c r="Q31" s="32"/>
    </row>
    <row r="32" spans="2:17" outlineLevel="1" x14ac:dyDescent="0.25">
      <c r="B32" s="10" t="s">
        <v>34</v>
      </c>
      <c r="C32" s="32">
        <v>0.35</v>
      </c>
      <c r="D32" s="32">
        <v>0.33</v>
      </c>
      <c r="E32" s="32">
        <v>0.08</v>
      </c>
      <c r="F32" s="32">
        <v>0.08</v>
      </c>
      <c r="G32" s="32">
        <v>0</v>
      </c>
      <c r="H32" s="32">
        <v>0.04</v>
      </c>
      <c r="I32" s="32">
        <v>0.03</v>
      </c>
      <c r="J32" s="32">
        <v>0.09</v>
      </c>
      <c r="K32" s="32"/>
      <c r="L32" s="32"/>
      <c r="M32" s="32"/>
      <c r="N32" s="32"/>
      <c r="O32" s="32"/>
      <c r="P32" s="32"/>
      <c r="Q32" s="32"/>
    </row>
    <row r="33" spans="2:17" outlineLevel="1" x14ac:dyDescent="0.25">
      <c r="B33" s="10" t="s">
        <v>35</v>
      </c>
      <c r="C33" s="32">
        <v>0.5</v>
      </c>
      <c r="D33" s="32">
        <v>0.3</v>
      </c>
      <c r="E33" s="32">
        <v>0.1</v>
      </c>
      <c r="F33" s="32">
        <v>9.9999999999999978E-2</v>
      </c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</row>
    <row r="34" spans="2:17" outlineLevel="1" x14ac:dyDescent="0.25">
      <c r="B34" s="10" t="s">
        <v>36</v>
      </c>
      <c r="C34" s="32">
        <v>0.35</v>
      </c>
      <c r="D34" s="32">
        <v>0.33</v>
      </c>
      <c r="E34" s="32">
        <v>0.08</v>
      </c>
      <c r="F34" s="32">
        <v>0.08</v>
      </c>
      <c r="G34" s="32">
        <v>0</v>
      </c>
      <c r="H34" s="32">
        <v>0.04</v>
      </c>
      <c r="I34" s="32">
        <v>0.03</v>
      </c>
      <c r="J34" s="32">
        <v>0.09</v>
      </c>
      <c r="K34" s="32"/>
      <c r="L34" s="32"/>
      <c r="M34" s="32"/>
      <c r="N34" s="32"/>
      <c r="O34" s="32"/>
      <c r="P34" s="32"/>
      <c r="Q34" s="32"/>
    </row>
    <row r="35" spans="2:17" outlineLevel="1" x14ac:dyDescent="0.25">
      <c r="B35" s="10" t="s">
        <v>37</v>
      </c>
      <c r="C35" s="32">
        <v>0.6</v>
      </c>
      <c r="D35" s="32">
        <v>0.25</v>
      </c>
      <c r="E35" s="32">
        <v>0.1</v>
      </c>
      <c r="F35" s="32">
        <v>0.05</v>
      </c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</row>
    <row r="36" spans="2:17" outlineLevel="1" x14ac:dyDescent="0.25">
      <c r="B36" s="10" t="s">
        <v>39</v>
      </c>
      <c r="C36" s="32">
        <v>0.24</v>
      </c>
      <c r="D36" s="32">
        <v>0.4</v>
      </c>
      <c r="E36" s="32">
        <v>0.21</v>
      </c>
      <c r="F36" s="32">
        <v>0.12</v>
      </c>
      <c r="G36" s="32">
        <f>1-SUM(C36:F36)</f>
        <v>3.0000000000000027E-2</v>
      </c>
      <c r="H36" s="32"/>
      <c r="I36" s="32"/>
      <c r="J36" s="32"/>
      <c r="K36" s="32"/>
      <c r="L36" s="32"/>
      <c r="M36" s="32"/>
      <c r="N36" s="32"/>
      <c r="O36" s="32"/>
      <c r="P36" s="32"/>
      <c r="Q36" s="32"/>
    </row>
    <row r="37" spans="2:17" outlineLevel="1" x14ac:dyDescent="0.25">
      <c r="B37" s="10" t="s">
        <v>40</v>
      </c>
      <c r="C37" s="32">
        <v>0.24</v>
      </c>
      <c r="D37" s="32">
        <v>0.4</v>
      </c>
      <c r="E37" s="32">
        <v>0.21</v>
      </c>
      <c r="F37" s="32">
        <v>0.12</v>
      </c>
      <c r="G37" s="32">
        <f>1-SUM(C37:F37)</f>
        <v>3.0000000000000027E-2</v>
      </c>
      <c r="H37" s="32"/>
      <c r="I37" s="32"/>
      <c r="J37" s="32"/>
      <c r="K37" s="32"/>
      <c r="L37" s="32"/>
      <c r="M37" s="32"/>
      <c r="N37" s="32"/>
      <c r="O37" s="32"/>
      <c r="P37" s="32"/>
      <c r="Q37" s="32"/>
    </row>
    <row r="38" spans="2:17" outlineLevel="1" x14ac:dyDescent="0.25">
      <c r="B38" s="10" t="s">
        <v>41</v>
      </c>
      <c r="C38" s="32">
        <v>0.5</v>
      </c>
      <c r="D38" s="32">
        <v>0.3</v>
      </c>
      <c r="E38" s="32">
        <v>0.1</v>
      </c>
      <c r="F38" s="32">
        <v>9.9999999999999978E-2</v>
      </c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</row>
    <row r="39" spans="2:17" outlineLevel="1" x14ac:dyDescent="0.25">
      <c r="B39" s="10" t="s">
        <v>42</v>
      </c>
      <c r="C39" s="32">
        <v>0.35</v>
      </c>
      <c r="D39" s="32">
        <v>0.33</v>
      </c>
      <c r="E39" s="32">
        <v>0.08</v>
      </c>
      <c r="F39" s="32">
        <v>0.08</v>
      </c>
      <c r="G39" s="32">
        <v>0</v>
      </c>
      <c r="H39" s="32">
        <v>0.04</v>
      </c>
      <c r="I39" s="32">
        <v>0.03</v>
      </c>
      <c r="J39" s="32">
        <v>0.09</v>
      </c>
      <c r="K39" s="32"/>
      <c r="L39" s="32"/>
      <c r="M39" s="32"/>
      <c r="N39" s="32"/>
      <c r="O39" s="32"/>
      <c r="P39" s="32"/>
      <c r="Q39" s="32"/>
    </row>
    <row r="40" spans="2:17" outlineLevel="1" x14ac:dyDescent="0.25">
      <c r="B40" s="10" t="s">
        <v>43</v>
      </c>
      <c r="C40" s="32">
        <v>0.35</v>
      </c>
      <c r="D40" s="32">
        <v>0.33</v>
      </c>
      <c r="E40" s="32">
        <v>0.08</v>
      </c>
      <c r="F40" s="32">
        <v>0.08</v>
      </c>
      <c r="G40" s="32">
        <v>0</v>
      </c>
      <c r="H40" s="32">
        <v>0.04</v>
      </c>
      <c r="I40" s="32">
        <v>0.03</v>
      </c>
      <c r="J40" s="32">
        <v>0.09</v>
      </c>
      <c r="K40" s="32"/>
      <c r="L40" s="32"/>
      <c r="M40" s="32"/>
      <c r="N40" s="32"/>
      <c r="O40" s="32"/>
      <c r="P40" s="32"/>
      <c r="Q40" s="32"/>
    </row>
    <row r="41" spans="2:17" outlineLevel="1" x14ac:dyDescent="0.25">
      <c r="B41" s="10" t="s">
        <v>48</v>
      </c>
      <c r="C41" s="32">
        <v>0.35</v>
      </c>
      <c r="D41" s="32">
        <v>0.33</v>
      </c>
      <c r="E41" s="32">
        <v>0.08</v>
      </c>
      <c r="F41" s="32">
        <v>0.08</v>
      </c>
      <c r="G41" s="32">
        <v>0</v>
      </c>
      <c r="H41" s="32">
        <v>0.04</v>
      </c>
      <c r="I41" s="32">
        <v>0.03</v>
      </c>
      <c r="J41" s="32">
        <v>0.09</v>
      </c>
      <c r="K41" s="32"/>
      <c r="L41" s="32"/>
      <c r="M41" s="32"/>
      <c r="N41" s="32"/>
      <c r="O41" s="32"/>
      <c r="P41" s="32"/>
      <c r="Q41" s="32"/>
    </row>
    <row r="42" spans="2:17" outlineLevel="1" x14ac:dyDescent="0.25">
      <c r="B42" s="10" t="s">
        <v>44</v>
      </c>
      <c r="C42" s="32">
        <v>0.24</v>
      </c>
      <c r="D42" s="32">
        <v>0.4</v>
      </c>
      <c r="E42" s="32">
        <v>0.21</v>
      </c>
      <c r="F42" s="32">
        <v>0.12</v>
      </c>
      <c r="G42" s="32">
        <f>1-SUM(C42:F42)</f>
        <v>3.0000000000000027E-2</v>
      </c>
      <c r="H42" s="32"/>
      <c r="I42" s="32"/>
      <c r="J42" s="32"/>
      <c r="K42" s="32"/>
      <c r="L42" s="32"/>
      <c r="M42" s="32"/>
      <c r="N42" s="32"/>
      <c r="O42" s="32"/>
      <c r="P42" s="32"/>
      <c r="Q42" s="32"/>
    </row>
    <row r="43" spans="2:17" outlineLevel="1" x14ac:dyDescent="0.25">
      <c r="B43" s="10" t="s">
        <v>45</v>
      </c>
      <c r="C43" s="32">
        <v>0.24</v>
      </c>
      <c r="D43" s="32">
        <v>0.4</v>
      </c>
      <c r="E43" s="32">
        <v>0.21</v>
      </c>
      <c r="F43" s="32">
        <v>0.12</v>
      </c>
      <c r="G43" s="32">
        <f>1-SUM(C43:F43)</f>
        <v>3.0000000000000027E-2</v>
      </c>
      <c r="H43" s="32"/>
      <c r="I43" s="32"/>
      <c r="J43" s="32"/>
      <c r="K43" s="32"/>
      <c r="L43" s="32"/>
      <c r="M43" s="32"/>
      <c r="N43" s="32"/>
      <c r="O43" s="32"/>
      <c r="P43" s="32"/>
      <c r="Q43" s="32"/>
    </row>
    <row r="44" spans="2:17" outlineLevel="1" x14ac:dyDescent="0.25">
      <c r="B44" s="10" t="s">
        <v>46</v>
      </c>
      <c r="C44" s="32">
        <v>0.03</v>
      </c>
      <c r="D44" s="32">
        <v>0.15</v>
      </c>
      <c r="E44" s="32">
        <v>0.16</v>
      </c>
      <c r="F44" s="32">
        <v>0.14000000000000001</v>
      </c>
      <c r="G44" s="32">
        <v>0.09</v>
      </c>
      <c r="H44" s="32">
        <v>0.08</v>
      </c>
      <c r="I44" s="32">
        <v>0.06</v>
      </c>
      <c r="J44" s="32">
        <v>0.06</v>
      </c>
      <c r="K44" s="32">
        <v>0.05</v>
      </c>
      <c r="L44" s="32">
        <v>0.04</v>
      </c>
      <c r="M44" s="32">
        <v>0.03</v>
      </c>
      <c r="N44" s="32">
        <v>0.03</v>
      </c>
      <c r="O44" s="32">
        <v>0.08</v>
      </c>
      <c r="P44" s="32"/>
      <c r="Q44" s="32"/>
    </row>
    <row r="46" spans="2:17" x14ac:dyDescent="0.25">
      <c r="B46" s="33" t="s">
        <v>113</v>
      </c>
    </row>
    <row r="47" spans="2:17" hidden="1" outlineLevel="1" x14ac:dyDescent="0.25">
      <c r="B47" s="2" t="s">
        <v>16</v>
      </c>
      <c r="C47" s="2" t="s">
        <v>82</v>
      </c>
      <c r="D47" s="2" t="s">
        <v>83</v>
      </c>
      <c r="E47" s="2" t="s">
        <v>84</v>
      </c>
      <c r="F47" s="2" t="s">
        <v>85</v>
      </c>
      <c r="G47" s="2" t="s">
        <v>86</v>
      </c>
      <c r="H47" s="2" t="s">
        <v>87</v>
      </c>
      <c r="I47" s="2" t="s">
        <v>88</v>
      </c>
      <c r="J47" s="2" t="s">
        <v>89</v>
      </c>
      <c r="K47" s="2" t="s">
        <v>90</v>
      </c>
      <c r="L47" s="2" t="s">
        <v>91</v>
      </c>
      <c r="M47" s="2" t="s">
        <v>92</v>
      </c>
      <c r="N47" s="2" t="s">
        <v>93</v>
      </c>
      <c r="O47" s="2" t="s">
        <v>94</v>
      </c>
      <c r="P47" s="2" t="s">
        <v>95</v>
      </c>
      <c r="Q47" s="2" t="s">
        <v>96</v>
      </c>
    </row>
    <row r="48" spans="2:17" hidden="1" outlineLevel="1" x14ac:dyDescent="0.25">
      <c r="B48" s="10" t="s">
        <v>97</v>
      </c>
      <c r="C48" s="32">
        <v>0.15</v>
      </c>
      <c r="D48" s="32">
        <v>0.21</v>
      </c>
      <c r="E48" s="32">
        <v>0.17</v>
      </c>
      <c r="F48" s="32">
        <v>0.15</v>
      </c>
      <c r="G48" s="32">
        <v>0.09</v>
      </c>
      <c r="H48" s="32">
        <v>0.06</v>
      </c>
      <c r="I48" s="32">
        <v>0.05</v>
      </c>
      <c r="J48" s="32">
        <v>0.03</v>
      </c>
      <c r="K48" s="32">
        <v>0.03</v>
      </c>
      <c r="L48" s="32">
        <v>0.04</v>
      </c>
      <c r="M48" s="32">
        <v>0.02</v>
      </c>
      <c r="N48" s="32"/>
      <c r="O48" s="32"/>
      <c r="P48" s="32"/>
      <c r="Q48" s="32"/>
    </row>
    <row r="49" spans="2:17" hidden="1" outlineLevel="1" x14ac:dyDescent="0.25">
      <c r="B49" s="10" t="s">
        <v>98</v>
      </c>
      <c r="C49" s="32">
        <v>0.15</v>
      </c>
      <c r="D49" s="32">
        <v>0.21</v>
      </c>
      <c r="E49" s="32">
        <v>0.17</v>
      </c>
      <c r="F49" s="32">
        <v>0.15</v>
      </c>
      <c r="G49" s="32">
        <v>0.09</v>
      </c>
      <c r="H49" s="32">
        <v>0.06</v>
      </c>
      <c r="I49" s="32">
        <v>0.05</v>
      </c>
      <c r="J49" s="32">
        <v>0.03</v>
      </c>
      <c r="K49" s="32">
        <v>0.03</v>
      </c>
      <c r="L49" s="32">
        <v>0.04</v>
      </c>
      <c r="M49" s="32">
        <v>0.02</v>
      </c>
      <c r="N49" s="32"/>
      <c r="O49" s="32"/>
      <c r="P49" s="32"/>
      <c r="Q49" s="32"/>
    </row>
    <row r="50" spans="2:17" hidden="1" outlineLevel="1" x14ac:dyDescent="0.25">
      <c r="B50" s="10" t="s">
        <v>99</v>
      </c>
      <c r="C50" s="32">
        <v>0.15</v>
      </c>
      <c r="D50" s="32">
        <v>0.21</v>
      </c>
      <c r="E50" s="32">
        <v>0.17</v>
      </c>
      <c r="F50" s="32">
        <v>0.15</v>
      </c>
      <c r="G50" s="32">
        <v>0.09</v>
      </c>
      <c r="H50" s="32">
        <v>0.06</v>
      </c>
      <c r="I50" s="32">
        <v>0.05</v>
      </c>
      <c r="J50" s="32">
        <v>0.03</v>
      </c>
      <c r="K50" s="32">
        <v>0.03</v>
      </c>
      <c r="L50" s="32">
        <v>0.04</v>
      </c>
      <c r="M50" s="32">
        <v>0.02</v>
      </c>
      <c r="N50" s="32"/>
      <c r="O50" s="32"/>
      <c r="P50" s="32"/>
      <c r="Q50" s="32"/>
    </row>
    <row r="51" spans="2:17" hidden="1" outlineLevel="1" x14ac:dyDescent="0.25">
      <c r="B51" s="10" t="s">
        <v>100</v>
      </c>
      <c r="C51" s="32">
        <v>0.15</v>
      </c>
      <c r="D51" s="32">
        <v>0.21</v>
      </c>
      <c r="E51" s="32">
        <v>0.17</v>
      </c>
      <c r="F51" s="32">
        <v>0.15</v>
      </c>
      <c r="G51" s="32">
        <v>0.09</v>
      </c>
      <c r="H51" s="32">
        <v>0.06</v>
      </c>
      <c r="I51" s="32">
        <v>0.05</v>
      </c>
      <c r="J51" s="32">
        <v>0.03</v>
      </c>
      <c r="K51" s="32">
        <v>0.03</v>
      </c>
      <c r="L51" s="32">
        <v>0.04</v>
      </c>
      <c r="M51" s="32">
        <v>0.02</v>
      </c>
      <c r="N51" s="32"/>
      <c r="O51" s="32"/>
      <c r="P51" s="32"/>
      <c r="Q51" s="32"/>
    </row>
    <row r="52" spans="2:17" hidden="1" outlineLevel="1" x14ac:dyDescent="0.25">
      <c r="B52" s="10" t="s">
        <v>101</v>
      </c>
      <c r="C52" s="32">
        <v>0.15</v>
      </c>
      <c r="D52" s="32">
        <v>0.21</v>
      </c>
      <c r="E52" s="32">
        <v>0.17</v>
      </c>
      <c r="F52" s="32">
        <v>0.15</v>
      </c>
      <c r="G52" s="32">
        <v>0.09</v>
      </c>
      <c r="H52" s="32">
        <v>0.06</v>
      </c>
      <c r="I52" s="32">
        <v>0.05</v>
      </c>
      <c r="J52" s="32">
        <v>0.03</v>
      </c>
      <c r="K52" s="32">
        <v>0.03</v>
      </c>
      <c r="L52" s="32">
        <v>0.04</v>
      </c>
      <c r="M52" s="32">
        <v>0.02</v>
      </c>
      <c r="N52" s="32"/>
      <c r="O52" s="32"/>
      <c r="P52" s="32"/>
      <c r="Q52" s="32"/>
    </row>
    <row r="53" spans="2:17" hidden="1" outlineLevel="1" x14ac:dyDescent="0.25">
      <c r="B53" s="10" t="s">
        <v>102</v>
      </c>
      <c r="C53" s="32">
        <v>0.15</v>
      </c>
      <c r="D53" s="32">
        <v>0.21</v>
      </c>
      <c r="E53" s="32">
        <v>0.17</v>
      </c>
      <c r="F53" s="32">
        <v>0.15</v>
      </c>
      <c r="G53" s="32">
        <v>0.09</v>
      </c>
      <c r="H53" s="32">
        <v>0.06</v>
      </c>
      <c r="I53" s="32">
        <v>0.05</v>
      </c>
      <c r="J53" s="32">
        <v>0.03</v>
      </c>
      <c r="K53" s="32">
        <v>0.03</v>
      </c>
      <c r="L53" s="32">
        <v>0.04</v>
      </c>
      <c r="M53" s="32">
        <v>0.02</v>
      </c>
      <c r="N53" s="32"/>
      <c r="O53" s="32"/>
      <c r="P53" s="32"/>
      <c r="Q53" s="32"/>
    </row>
    <row r="54" spans="2:17" hidden="1" outlineLevel="1" x14ac:dyDescent="0.25">
      <c r="B54" s="10" t="s">
        <v>103</v>
      </c>
      <c r="C54" s="32">
        <v>0.15</v>
      </c>
      <c r="D54" s="32">
        <v>0.21</v>
      </c>
      <c r="E54" s="32">
        <v>0.17</v>
      </c>
      <c r="F54" s="32">
        <v>0.15</v>
      </c>
      <c r="G54" s="32">
        <v>0.09</v>
      </c>
      <c r="H54" s="32">
        <v>0.06</v>
      </c>
      <c r="I54" s="32">
        <v>0.05</v>
      </c>
      <c r="J54" s="32">
        <v>0.03</v>
      </c>
      <c r="K54" s="32">
        <v>0.03</v>
      </c>
      <c r="L54" s="32">
        <v>0.04</v>
      </c>
      <c r="M54" s="32">
        <v>0.02</v>
      </c>
      <c r="N54" s="32"/>
      <c r="O54" s="32"/>
      <c r="P54" s="32"/>
      <c r="Q54" s="32"/>
    </row>
    <row r="55" spans="2:17" hidden="1" outlineLevel="1" x14ac:dyDescent="0.25">
      <c r="B55" s="10" t="s">
        <v>104</v>
      </c>
      <c r="C55" s="32">
        <v>0.15</v>
      </c>
      <c r="D55" s="32">
        <v>0.21</v>
      </c>
      <c r="E55" s="32">
        <v>0.17</v>
      </c>
      <c r="F55" s="32">
        <v>0.15</v>
      </c>
      <c r="G55" s="32">
        <v>0.09</v>
      </c>
      <c r="H55" s="32">
        <v>0.06</v>
      </c>
      <c r="I55" s="32">
        <v>0.05</v>
      </c>
      <c r="J55" s="32">
        <v>0.03</v>
      </c>
      <c r="K55" s="32">
        <v>0.03</v>
      </c>
      <c r="L55" s="32">
        <v>0.04</v>
      </c>
      <c r="M55" s="32">
        <v>0.02</v>
      </c>
      <c r="N55" s="32"/>
      <c r="O55" s="32"/>
      <c r="P55" s="32"/>
      <c r="Q55" s="32"/>
    </row>
    <row r="56" spans="2:17" hidden="1" outlineLevel="1" x14ac:dyDescent="0.25">
      <c r="B56" s="10" t="s">
        <v>105</v>
      </c>
      <c r="C56" s="32">
        <v>0.15</v>
      </c>
      <c r="D56" s="32">
        <v>0.21</v>
      </c>
      <c r="E56" s="32">
        <v>0.17</v>
      </c>
      <c r="F56" s="32">
        <v>0.15</v>
      </c>
      <c r="G56" s="32">
        <v>0.09</v>
      </c>
      <c r="H56" s="32">
        <v>0.06</v>
      </c>
      <c r="I56" s="32">
        <v>0.05</v>
      </c>
      <c r="J56" s="32">
        <v>0.03</v>
      </c>
      <c r="K56" s="32">
        <v>0.03</v>
      </c>
      <c r="L56" s="32">
        <v>0.04</v>
      </c>
      <c r="M56" s="32">
        <v>0.02</v>
      </c>
      <c r="N56" s="32"/>
      <c r="O56" s="32"/>
      <c r="P56" s="32"/>
      <c r="Q56" s="32"/>
    </row>
    <row r="57" spans="2:17" hidden="1" outlineLevel="1" x14ac:dyDescent="0.25">
      <c r="B57" s="10" t="s">
        <v>106</v>
      </c>
      <c r="C57" s="32">
        <v>0.15</v>
      </c>
      <c r="D57" s="32">
        <v>0.21</v>
      </c>
      <c r="E57" s="32">
        <v>0.17</v>
      </c>
      <c r="F57" s="32">
        <v>0.15</v>
      </c>
      <c r="G57" s="32">
        <v>0.09</v>
      </c>
      <c r="H57" s="32">
        <v>0.06</v>
      </c>
      <c r="I57" s="32">
        <v>0.05</v>
      </c>
      <c r="J57" s="32">
        <v>0.03</v>
      </c>
      <c r="K57" s="32">
        <v>0.03</v>
      </c>
      <c r="L57" s="32">
        <v>0.04</v>
      </c>
      <c r="M57" s="32">
        <v>0.02</v>
      </c>
      <c r="N57" s="32"/>
      <c r="O57" s="32"/>
      <c r="P57" s="32"/>
      <c r="Q57" s="32"/>
    </row>
    <row r="58" spans="2:17" collapsed="1" x14ac:dyDescent="0.25"/>
    <row r="59" spans="2:17" x14ac:dyDescent="0.25">
      <c r="B59" s="33" t="s">
        <v>114</v>
      </c>
    </row>
    <row r="60" spans="2:17" hidden="1" outlineLevel="1" x14ac:dyDescent="0.25">
      <c r="B60" s="2" t="s">
        <v>16</v>
      </c>
      <c r="C60" s="2" t="s">
        <v>82</v>
      </c>
      <c r="D60" s="2" t="s">
        <v>83</v>
      </c>
      <c r="E60" s="2" t="s">
        <v>84</v>
      </c>
      <c r="F60" s="2" t="s">
        <v>85</v>
      </c>
      <c r="G60" s="2" t="s">
        <v>86</v>
      </c>
      <c r="H60" s="2" t="s">
        <v>87</v>
      </c>
      <c r="I60" s="2" t="s">
        <v>88</v>
      </c>
      <c r="J60" s="2" t="s">
        <v>89</v>
      </c>
      <c r="K60" s="2" t="s">
        <v>90</v>
      </c>
      <c r="L60" s="2" t="s">
        <v>91</v>
      </c>
      <c r="M60" s="2" t="s">
        <v>92</v>
      </c>
      <c r="N60" s="2" t="s">
        <v>93</v>
      </c>
      <c r="O60" s="2" t="s">
        <v>94</v>
      </c>
      <c r="P60" s="2" t="s">
        <v>95</v>
      </c>
      <c r="Q60" s="2" t="s">
        <v>96</v>
      </c>
    </row>
    <row r="61" spans="2:17" hidden="1" outlineLevel="1" x14ac:dyDescent="0.25">
      <c r="B61" s="10" t="s">
        <v>97</v>
      </c>
      <c r="C61" s="32">
        <v>0.35</v>
      </c>
      <c r="D61" s="32">
        <v>0.4</v>
      </c>
      <c r="E61" s="32">
        <v>0.2</v>
      </c>
      <c r="F61" s="32">
        <v>0.05</v>
      </c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</row>
    <row r="62" spans="2:17" hidden="1" outlineLevel="1" x14ac:dyDescent="0.25">
      <c r="B62" s="10" t="s">
        <v>98</v>
      </c>
      <c r="C62" s="32">
        <v>0.35</v>
      </c>
      <c r="D62" s="32">
        <v>0.4</v>
      </c>
      <c r="E62" s="32">
        <v>0.2</v>
      </c>
      <c r="F62" s="32">
        <v>0.05</v>
      </c>
      <c r="G62" s="32"/>
      <c r="H62" s="32"/>
      <c r="I62" s="32"/>
      <c r="J62" s="32"/>
      <c r="K62" s="32"/>
      <c r="L62" s="32"/>
      <c r="M62" s="32"/>
      <c r="N62" s="32"/>
      <c r="O62" s="32"/>
      <c r="P62" s="32"/>
      <c r="Q62" s="32"/>
    </row>
    <row r="63" spans="2:17" hidden="1" outlineLevel="1" x14ac:dyDescent="0.25">
      <c r="B63" s="10" t="s">
        <v>99</v>
      </c>
      <c r="C63" s="32">
        <v>0.35</v>
      </c>
      <c r="D63" s="32">
        <v>0.4</v>
      </c>
      <c r="E63" s="32">
        <v>0.2</v>
      </c>
      <c r="F63" s="32">
        <v>0.05</v>
      </c>
      <c r="G63" s="32"/>
      <c r="H63" s="32"/>
      <c r="I63" s="32"/>
      <c r="J63" s="32"/>
      <c r="K63" s="32"/>
      <c r="L63" s="32"/>
      <c r="M63" s="32"/>
      <c r="N63" s="32"/>
      <c r="O63" s="32"/>
      <c r="P63" s="32"/>
      <c r="Q63" s="32"/>
    </row>
    <row r="64" spans="2:17" hidden="1" outlineLevel="1" x14ac:dyDescent="0.25">
      <c r="B64" s="10" t="s">
        <v>100</v>
      </c>
      <c r="C64" s="32">
        <v>0.35</v>
      </c>
      <c r="D64" s="32">
        <v>0.4</v>
      </c>
      <c r="E64" s="32">
        <v>0.2</v>
      </c>
      <c r="F64" s="32">
        <v>0.05</v>
      </c>
      <c r="G64" s="32"/>
      <c r="H64" s="32"/>
      <c r="I64" s="32"/>
      <c r="J64" s="32"/>
      <c r="K64" s="32"/>
      <c r="L64" s="32"/>
      <c r="M64" s="32"/>
      <c r="N64" s="32"/>
      <c r="O64" s="32"/>
      <c r="P64" s="32"/>
      <c r="Q64" s="32"/>
    </row>
    <row r="65" spans="2:17" hidden="1" outlineLevel="1" x14ac:dyDescent="0.25">
      <c r="B65" s="10" t="s">
        <v>101</v>
      </c>
      <c r="C65" s="32">
        <v>0.35</v>
      </c>
      <c r="D65" s="32">
        <v>0.4</v>
      </c>
      <c r="E65" s="32">
        <v>0.2</v>
      </c>
      <c r="F65" s="32">
        <v>0.05</v>
      </c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</row>
    <row r="66" spans="2:17" hidden="1" outlineLevel="1" x14ac:dyDescent="0.25">
      <c r="B66" s="10" t="s">
        <v>102</v>
      </c>
      <c r="C66" s="32">
        <v>0.35</v>
      </c>
      <c r="D66" s="32">
        <v>0.4</v>
      </c>
      <c r="E66" s="32">
        <v>0.2</v>
      </c>
      <c r="F66" s="32">
        <v>0.05</v>
      </c>
      <c r="G66" s="32"/>
      <c r="H66" s="32"/>
      <c r="I66" s="32"/>
      <c r="J66" s="32"/>
      <c r="K66" s="32"/>
      <c r="L66" s="32"/>
      <c r="M66" s="32"/>
      <c r="N66" s="32"/>
      <c r="O66" s="32"/>
      <c r="P66" s="32"/>
      <c r="Q66" s="32"/>
    </row>
    <row r="67" spans="2:17" hidden="1" outlineLevel="1" x14ac:dyDescent="0.25">
      <c r="B67" s="10" t="s">
        <v>103</v>
      </c>
      <c r="C67" s="32">
        <v>0.35</v>
      </c>
      <c r="D67" s="32">
        <v>0.4</v>
      </c>
      <c r="E67" s="32">
        <v>0.2</v>
      </c>
      <c r="F67" s="32">
        <v>0.05</v>
      </c>
      <c r="G67" s="32"/>
      <c r="H67" s="32"/>
      <c r="I67" s="32"/>
      <c r="J67" s="32"/>
      <c r="K67" s="32"/>
      <c r="L67" s="32"/>
      <c r="M67" s="32"/>
      <c r="N67" s="32"/>
      <c r="O67" s="32"/>
      <c r="P67" s="32"/>
      <c r="Q67" s="32"/>
    </row>
    <row r="68" spans="2:17" hidden="1" outlineLevel="1" x14ac:dyDescent="0.25">
      <c r="B68" s="10" t="s">
        <v>104</v>
      </c>
      <c r="C68" s="32">
        <v>0.35</v>
      </c>
      <c r="D68" s="32">
        <v>0.4</v>
      </c>
      <c r="E68" s="32">
        <v>0.2</v>
      </c>
      <c r="F68" s="32">
        <v>0.05</v>
      </c>
      <c r="G68" s="32"/>
      <c r="H68" s="32"/>
      <c r="I68" s="32"/>
      <c r="J68" s="32"/>
      <c r="K68" s="32"/>
      <c r="L68" s="32"/>
      <c r="M68" s="32"/>
      <c r="N68" s="32"/>
      <c r="O68" s="32"/>
      <c r="P68" s="32"/>
      <c r="Q68" s="32"/>
    </row>
    <row r="69" spans="2:17" hidden="1" outlineLevel="1" x14ac:dyDescent="0.25">
      <c r="B69" s="10" t="s">
        <v>105</v>
      </c>
      <c r="C69" s="32">
        <v>0.35</v>
      </c>
      <c r="D69" s="32">
        <v>0.4</v>
      </c>
      <c r="E69" s="32">
        <v>0.2</v>
      </c>
      <c r="F69" s="32">
        <v>0.05</v>
      </c>
      <c r="G69" s="32"/>
      <c r="H69" s="32"/>
      <c r="I69" s="32"/>
      <c r="J69" s="32"/>
      <c r="K69" s="32"/>
      <c r="L69" s="32"/>
      <c r="M69" s="32"/>
      <c r="N69" s="32"/>
      <c r="O69" s="32"/>
      <c r="P69" s="32"/>
      <c r="Q69" s="32"/>
    </row>
    <row r="70" spans="2:17" hidden="1" outlineLevel="1" x14ac:dyDescent="0.25">
      <c r="B70" s="10" t="s">
        <v>106</v>
      </c>
      <c r="C70" s="32">
        <v>0.35</v>
      </c>
      <c r="D70" s="32">
        <v>0.4</v>
      </c>
      <c r="E70" s="32">
        <v>0.2</v>
      </c>
      <c r="F70" s="32">
        <v>0.05</v>
      </c>
      <c r="G70" s="32"/>
      <c r="H70" s="32"/>
      <c r="I70" s="32"/>
      <c r="J70" s="32"/>
      <c r="K70" s="32"/>
      <c r="L70" s="32"/>
      <c r="M70" s="32"/>
      <c r="N70" s="32"/>
      <c r="O70" s="32"/>
      <c r="P70" s="32"/>
      <c r="Q70" s="32"/>
    </row>
    <row r="71" spans="2:17" hidden="1" outlineLevel="1" x14ac:dyDescent="0.25">
      <c r="B71" s="10" t="s">
        <v>107</v>
      </c>
      <c r="C71" s="32">
        <v>0.24</v>
      </c>
      <c r="D71" s="32">
        <v>0.4</v>
      </c>
      <c r="E71" s="32">
        <v>0.21</v>
      </c>
      <c r="F71" s="32">
        <v>0.12</v>
      </c>
      <c r="G71" s="32">
        <f>1-SUM(C71:F71)</f>
        <v>3.0000000000000027E-2</v>
      </c>
      <c r="H71" s="32"/>
      <c r="I71" s="32"/>
      <c r="J71" s="32"/>
      <c r="K71" s="32"/>
      <c r="L71" s="32"/>
      <c r="M71" s="32"/>
      <c r="N71" s="32"/>
      <c r="O71" s="32"/>
      <c r="P71" s="32"/>
      <c r="Q71" s="32"/>
    </row>
    <row r="72" spans="2:17" hidden="1" outlineLevel="1" x14ac:dyDescent="0.25">
      <c r="B72" s="10" t="s">
        <v>108</v>
      </c>
      <c r="C72" s="32">
        <v>0.24</v>
      </c>
      <c r="D72" s="32">
        <v>0.4</v>
      </c>
      <c r="E72" s="32">
        <v>0.21</v>
      </c>
      <c r="F72" s="32">
        <v>0.12</v>
      </c>
      <c r="G72" s="32">
        <f>1-SUM(C72:F72)</f>
        <v>3.0000000000000027E-2</v>
      </c>
      <c r="H72" s="32"/>
      <c r="I72" s="32"/>
      <c r="J72" s="32"/>
      <c r="K72" s="32"/>
      <c r="L72" s="32"/>
      <c r="M72" s="32"/>
      <c r="N72" s="32"/>
      <c r="O72" s="32"/>
      <c r="P72" s="32"/>
      <c r="Q72" s="32"/>
    </row>
    <row r="73" spans="2:17" hidden="1" outlineLevel="1" x14ac:dyDescent="0.25">
      <c r="B73" s="10" t="s">
        <v>47</v>
      </c>
      <c r="C73" s="32">
        <v>0.24</v>
      </c>
      <c r="D73" s="32">
        <v>0.4</v>
      </c>
      <c r="E73" s="32">
        <v>0.21</v>
      </c>
      <c r="F73" s="32">
        <v>0.12</v>
      </c>
      <c r="G73" s="32">
        <f>1-SUM(C73:F73)</f>
        <v>3.0000000000000027E-2</v>
      </c>
      <c r="H73" s="32"/>
      <c r="I73" s="32"/>
      <c r="J73" s="32"/>
      <c r="K73" s="32"/>
      <c r="L73" s="32"/>
      <c r="M73" s="32"/>
      <c r="N73" s="32"/>
      <c r="O73" s="32"/>
      <c r="P73" s="32"/>
      <c r="Q73" s="32"/>
    </row>
    <row r="74" spans="2:17" hidden="1" outlineLevel="1" x14ac:dyDescent="0.25">
      <c r="B74" s="10" t="s">
        <v>109</v>
      </c>
      <c r="C74" s="32">
        <v>0.03</v>
      </c>
      <c r="D74" s="32">
        <v>0.15</v>
      </c>
      <c r="E74" s="32">
        <v>0.16</v>
      </c>
      <c r="F74" s="32">
        <v>0.14000000000000001</v>
      </c>
      <c r="G74" s="32">
        <v>0.09</v>
      </c>
      <c r="H74" s="32">
        <v>0.08</v>
      </c>
      <c r="I74" s="32">
        <v>0.06</v>
      </c>
      <c r="J74" s="32">
        <v>0.06</v>
      </c>
      <c r="K74" s="32">
        <v>0.05</v>
      </c>
      <c r="L74" s="32">
        <v>0.04</v>
      </c>
      <c r="M74" s="32">
        <v>0.03</v>
      </c>
      <c r="N74" s="32">
        <v>0.03</v>
      </c>
      <c r="O74" s="32">
        <v>0.08</v>
      </c>
      <c r="P74" s="32"/>
      <c r="Q74" s="32"/>
    </row>
    <row r="75" spans="2:17" hidden="1" outlineLevel="1" x14ac:dyDescent="0.25">
      <c r="B75" s="10" t="s">
        <v>110</v>
      </c>
      <c r="C75" s="32">
        <v>0.03</v>
      </c>
      <c r="D75" s="32">
        <v>0.15</v>
      </c>
      <c r="E75" s="32">
        <v>0.16</v>
      </c>
      <c r="F75" s="32">
        <v>0.14000000000000001</v>
      </c>
      <c r="G75" s="32">
        <v>0.09</v>
      </c>
      <c r="H75" s="32">
        <v>0.08</v>
      </c>
      <c r="I75" s="32">
        <v>0.06</v>
      </c>
      <c r="J75" s="32">
        <v>0.06</v>
      </c>
      <c r="K75" s="32">
        <v>0.05</v>
      </c>
      <c r="L75" s="32">
        <v>0.04</v>
      </c>
      <c r="M75" s="32">
        <v>0.03</v>
      </c>
      <c r="N75" s="32">
        <v>0.03</v>
      </c>
      <c r="O75" s="32">
        <v>0.08</v>
      </c>
      <c r="P75" s="32"/>
      <c r="Q75" s="32"/>
    </row>
    <row r="76" spans="2:17" hidden="1" outlineLevel="1" x14ac:dyDescent="0.25">
      <c r="B76" s="10" t="s">
        <v>111</v>
      </c>
      <c r="C76" s="32">
        <v>0.03</v>
      </c>
      <c r="D76" s="32">
        <v>0.15</v>
      </c>
      <c r="E76" s="32">
        <v>0.16</v>
      </c>
      <c r="F76" s="32">
        <v>0.14000000000000001</v>
      </c>
      <c r="G76" s="32">
        <v>0.09</v>
      </c>
      <c r="H76" s="32">
        <v>0.08</v>
      </c>
      <c r="I76" s="32">
        <v>0.06</v>
      </c>
      <c r="J76" s="32">
        <v>0.06</v>
      </c>
      <c r="K76" s="32">
        <v>0.05</v>
      </c>
      <c r="L76" s="32">
        <v>0.04</v>
      </c>
      <c r="M76" s="32">
        <v>0.03</v>
      </c>
      <c r="N76" s="32">
        <v>0.03</v>
      </c>
      <c r="O76" s="32">
        <v>0.08</v>
      </c>
      <c r="P76" s="32"/>
      <c r="Q76" s="32"/>
    </row>
    <row r="77" spans="2:17" hidden="1" outlineLevel="1" x14ac:dyDescent="0.25">
      <c r="B77" s="10" t="s">
        <v>38</v>
      </c>
      <c r="C77" s="32">
        <v>0.03</v>
      </c>
      <c r="D77" s="32">
        <v>0.15</v>
      </c>
      <c r="E77" s="32">
        <v>0.16</v>
      </c>
      <c r="F77" s="32">
        <v>0.14000000000000001</v>
      </c>
      <c r="G77" s="32">
        <v>0.09</v>
      </c>
      <c r="H77" s="32">
        <v>0.08</v>
      </c>
      <c r="I77" s="32">
        <v>0.06</v>
      </c>
      <c r="J77" s="32">
        <v>0.06</v>
      </c>
      <c r="K77" s="32">
        <v>0.05</v>
      </c>
      <c r="L77" s="32">
        <v>0.04</v>
      </c>
      <c r="M77" s="32">
        <v>0.03</v>
      </c>
      <c r="N77" s="32">
        <v>0.03</v>
      </c>
      <c r="O77" s="32">
        <v>0.08</v>
      </c>
      <c r="P77" s="32"/>
      <c r="Q77" s="32"/>
    </row>
    <row r="78" spans="2:17" hidden="1" outlineLevel="1" x14ac:dyDescent="0.25">
      <c r="B78" s="10" t="s">
        <v>23</v>
      </c>
      <c r="C78" s="32">
        <v>0.03</v>
      </c>
      <c r="D78" s="32">
        <v>0.15</v>
      </c>
      <c r="E78" s="32">
        <v>0.16</v>
      </c>
      <c r="F78" s="32">
        <v>0.14000000000000001</v>
      </c>
      <c r="G78" s="32">
        <v>0.09</v>
      </c>
      <c r="H78" s="32">
        <v>0.08</v>
      </c>
      <c r="I78" s="32">
        <v>0.06</v>
      </c>
      <c r="J78" s="32">
        <v>0.06</v>
      </c>
      <c r="K78" s="32">
        <v>0.05</v>
      </c>
      <c r="L78" s="32">
        <v>0.04</v>
      </c>
      <c r="M78" s="32">
        <v>0.03</v>
      </c>
      <c r="N78" s="32">
        <v>0.03</v>
      </c>
      <c r="O78" s="32">
        <v>0.08</v>
      </c>
      <c r="P78" s="32"/>
      <c r="Q78" s="32"/>
    </row>
    <row r="79" spans="2:17" hidden="1" outlineLevel="1" x14ac:dyDescent="0.25">
      <c r="B79" s="10" t="s">
        <v>24</v>
      </c>
      <c r="C79" s="32">
        <v>0.03</v>
      </c>
      <c r="D79" s="32">
        <v>0.15</v>
      </c>
      <c r="E79" s="32">
        <v>0.16</v>
      </c>
      <c r="F79" s="32">
        <v>0.14000000000000001</v>
      </c>
      <c r="G79" s="32">
        <v>0.09</v>
      </c>
      <c r="H79" s="32">
        <v>0.08</v>
      </c>
      <c r="I79" s="32">
        <v>0.06</v>
      </c>
      <c r="J79" s="32">
        <v>0.06</v>
      </c>
      <c r="K79" s="32">
        <v>0.05</v>
      </c>
      <c r="L79" s="32">
        <v>0.04</v>
      </c>
      <c r="M79" s="32">
        <v>0.03</v>
      </c>
      <c r="N79" s="32">
        <v>0.03</v>
      </c>
      <c r="O79" s="32">
        <v>0.08</v>
      </c>
      <c r="P79" s="32"/>
      <c r="Q79" s="32"/>
    </row>
    <row r="80" spans="2:17" hidden="1" outlineLevel="1" x14ac:dyDescent="0.25">
      <c r="B80" s="10" t="s">
        <v>25</v>
      </c>
      <c r="C80" s="32">
        <v>0.03</v>
      </c>
      <c r="D80" s="32">
        <v>0.15</v>
      </c>
      <c r="E80" s="32">
        <v>0.16</v>
      </c>
      <c r="F80" s="32">
        <v>0.14000000000000001</v>
      </c>
      <c r="G80" s="32">
        <v>0.09</v>
      </c>
      <c r="H80" s="32">
        <v>0.08</v>
      </c>
      <c r="I80" s="32">
        <v>0.06</v>
      </c>
      <c r="J80" s="32">
        <v>0.06</v>
      </c>
      <c r="K80" s="32">
        <v>0.05</v>
      </c>
      <c r="L80" s="32">
        <v>0.04</v>
      </c>
      <c r="M80" s="32">
        <v>0.03</v>
      </c>
      <c r="N80" s="32">
        <v>0.03</v>
      </c>
      <c r="O80" s="32">
        <v>0.08</v>
      </c>
      <c r="P80" s="32"/>
      <c r="Q80" s="32"/>
    </row>
    <row r="81" spans="2:17" hidden="1" outlineLevel="1" x14ac:dyDescent="0.25">
      <c r="B81" s="10" t="s">
        <v>26</v>
      </c>
      <c r="C81" s="32">
        <v>0.35</v>
      </c>
      <c r="D81" s="32">
        <v>0.33</v>
      </c>
      <c r="E81" s="32">
        <v>0.08</v>
      </c>
      <c r="F81" s="32">
        <v>0.08</v>
      </c>
      <c r="G81" s="32">
        <v>0</v>
      </c>
      <c r="H81" s="32">
        <v>0.04</v>
      </c>
      <c r="I81" s="32">
        <v>0.03</v>
      </c>
      <c r="J81" s="32">
        <v>0.09</v>
      </c>
      <c r="K81" s="32"/>
      <c r="L81" s="32"/>
      <c r="M81" s="32"/>
      <c r="N81" s="32"/>
      <c r="O81" s="32"/>
      <c r="P81" s="32"/>
      <c r="Q81" s="32"/>
    </row>
    <row r="82" spans="2:17" hidden="1" outlineLevel="1" x14ac:dyDescent="0.25">
      <c r="B82" s="10" t="s">
        <v>27</v>
      </c>
      <c r="C82" s="32">
        <v>0.03</v>
      </c>
      <c r="D82" s="32">
        <v>0.15</v>
      </c>
      <c r="E82" s="32">
        <v>0.16</v>
      </c>
      <c r="F82" s="32">
        <v>0.14000000000000001</v>
      </c>
      <c r="G82" s="32">
        <v>0.09</v>
      </c>
      <c r="H82" s="32">
        <v>0.08</v>
      </c>
      <c r="I82" s="32">
        <v>0.06</v>
      </c>
      <c r="J82" s="32">
        <v>0.06</v>
      </c>
      <c r="K82" s="32">
        <v>0.05</v>
      </c>
      <c r="L82" s="32">
        <v>0.04</v>
      </c>
      <c r="M82" s="32">
        <v>0.03</v>
      </c>
      <c r="N82" s="32">
        <v>0.03</v>
      </c>
      <c r="O82" s="32">
        <v>0.08</v>
      </c>
      <c r="P82" s="32"/>
      <c r="Q82" s="32"/>
    </row>
    <row r="83" spans="2:17" hidden="1" outlineLevel="1" x14ac:dyDescent="0.25">
      <c r="B83" s="10" t="s">
        <v>28</v>
      </c>
      <c r="C83" s="32">
        <v>0.03</v>
      </c>
      <c r="D83" s="32">
        <v>0.15</v>
      </c>
      <c r="E83" s="32">
        <v>0.16</v>
      </c>
      <c r="F83" s="32">
        <v>0.14000000000000001</v>
      </c>
      <c r="G83" s="32">
        <v>0.09</v>
      </c>
      <c r="H83" s="32">
        <v>0.08</v>
      </c>
      <c r="I83" s="32">
        <v>0.06</v>
      </c>
      <c r="J83" s="32">
        <v>0.06</v>
      </c>
      <c r="K83" s="32">
        <v>0.05</v>
      </c>
      <c r="L83" s="32">
        <v>0.04</v>
      </c>
      <c r="M83" s="32">
        <v>0.03</v>
      </c>
      <c r="N83" s="32">
        <v>0.03</v>
      </c>
      <c r="O83" s="32">
        <v>0.08</v>
      </c>
      <c r="P83" s="32"/>
      <c r="Q83" s="32"/>
    </row>
    <row r="84" spans="2:17" hidden="1" outlineLevel="1" x14ac:dyDescent="0.25">
      <c r="B84" s="10" t="s">
        <v>29</v>
      </c>
      <c r="C84" s="32">
        <v>0.03</v>
      </c>
      <c r="D84" s="32">
        <v>0.15</v>
      </c>
      <c r="E84" s="32">
        <v>0.16</v>
      </c>
      <c r="F84" s="32">
        <v>0.14000000000000001</v>
      </c>
      <c r="G84" s="32">
        <v>0.09</v>
      </c>
      <c r="H84" s="32">
        <v>0.08</v>
      </c>
      <c r="I84" s="32">
        <v>0.06</v>
      </c>
      <c r="J84" s="32">
        <v>0.06</v>
      </c>
      <c r="K84" s="32">
        <v>0.05</v>
      </c>
      <c r="L84" s="32">
        <v>0.04</v>
      </c>
      <c r="M84" s="32">
        <v>0.03</v>
      </c>
      <c r="N84" s="32">
        <v>0.03</v>
      </c>
      <c r="O84" s="32">
        <v>0.08</v>
      </c>
      <c r="P84" s="32"/>
      <c r="Q84" s="32"/>
    </row>
    <row r="85" spans="2:17" hidden="1" outlineLevel="1" x14ac:dyDescent="0.25">
      <c r="B85" s="10" t="s">
        <v>30</v>
      </c>
      <c r="C85" s="32">
        <v>0.24</v>
      </c>
      <c r="D85" s="32">
        <v>0.4</v>
      </c>
      <c r="E85" s="32">
        <v>0.21</v>
      </c>
      <c r="F85" s="32">
        <v>0.12</v>
      </c>
      <c r="G85" s="32">
        <f>1-SUM(C85:F85)</f>
        <v>3.0000000000000027E-2</v>
      </c>
      <c r="H85" s="32"/>
      <c r="I85" s="32"/>
      <c r="J85" s="32"/>
      <c r="K85" s="32"/>
      <c r="L85" s="32"/>
      <c r="M85" s="32"/>
      <c r="N85" s="32"/>
      <c r="O85" s="32"/>
      <c r="P85" s="32"/>
      <c r="Q85" s="32"/>
    </row>
    <row r="86" spans="2:17" hidden="1" outlineLevel="1" x14ac:dyDescent="0.25">
      <c r="B86" s="10" t="s">
        <v>31</v>
      </c>
      <c r="C86" s="32">
        <v>0.35</v>
      </c>
      <c r="D86" s="32">
        <v>0.33</v>
      </c>
      <c r="E86" s="32">
        <v>0.08</v>
      </c>
      <c r="F86" s="32">
        <v>0.08</v>
      </c>
      <c r="G86" s="32">
        <v>0</v>
      </c>
      <c r="H86" s="32">
        <v>0.04</v>
      </c>
      <c r="I86" s="32">
        <v>0.03</v>
      </c>
      <c r="J86" s="32">
        <v>0.09</v>
      </c>
      <c r="K86" s="32"/>
      <c r="L86" s="32"/>
      <c r="M86" s="32"/>
      <c r="N86" s="32"/>
      <c r="O86" s="32"/>
      <c r="P86" s="32"/>
      <c r="Q86" s="32"/>
    </row>
    <row r="87" spans="2:17" hidden="1" outlineLevel="1" x14ac:dyDescent="0.25">
      <c r="B87" s="10" t="s">
        <v>32</v>
      </c>
      <c r="C87" s="32">
        <v>0.35</v>
      </c>
      <c r="D87" s="32">
        <v>0.33</v>
      </c>
      <c r="E87" s="32">
        <v>0.08</v>
      </c>
      <c r="F87" s="32">
        <v>0.08</v>
      </c>
      <c r="G87" s="32">
        <v>0</v>
      </c>
      <c r="H87" s="32">
        <v>0.04</v>
      </c>
      <c r="I87" s="32">
        <v>0.03</v>
      </c>
      <c r="J87" s="32">
        <v>0.09</v>
      </c>
      <c r="K87" s="32"/>
      <c r="L87" s="32"/>
      <c r="M87" s="32"/>
      <c r="N87" s="32"/>
      <c r="O87" s="32"/>
      <c r="P87" s="32"/>
      <c r="Q87" s="32"/>
    </row>
    <row r="88" spans="2:17" hidden="1" outlineLevel="1" x14ac:dyDescent="0.25">
      <c r="B88" s="10" t="s">
        <v>33</v>
      </c>
      <c r="C88" s="32">
        <v>0.35</v>
      </c>
      <c r="D88" s="32">
        <v>0.33</v>
      </c>
      <c r="E88" s="32">
        <v>0.08</v>
      </c>
      <c r="F88" s="32">
        <v>0.08</v>
      </c>
      <c r="G88" s="32">
        <v>0</v>
      </c>
      <c r="H88" s="32">
        <v>0.04</v>
      </c>
      <c r="I88" s="32">
        <v>0.03</v>
      </c>
      <c r="J88" s="32">
        <v>0.09</v>
      </c>
      <c r="K88" s="32"/>
      <c r="L88" s="32"/>
      <c r="M88" s="32"/>
      <c r="N88" s="32"/>
      <c r="O88" s="32"/>
      <c r="P88" s="32"/>
      <c r="Q88" s="32"/>
    </row>
    <row r="89" spans="2:17" hidden="1" outlineLevel="1" x14ac:dyDescent="0.25">
      <c r="B89" s="10" t="s">
        <v>34</v>
      </c>
      <c r="C89" s="32">
        <v>0.35</v>
      </c>
      <c r="D89" s="32">
        <v>0.33</v>
      </c>
      <c r="E89" s="32">
        <v>0.08</v>
      </c>
      <c r="F89" s="32">
        <v>0.08</v>
      </c>
      <c r="G89" s="32">
        <v>0</v>
      </c>
      <c r="H89" s="32">
        <v>0.04</v>
      </c>
      <c r="I89" s="32">
        <v>0.03</v>
      </c>
      <c r="J89" s="32">
        <v>0.09</v>
      </c>
      <c r="K89" s="32"/>
      <c r="L89" s="32"/>
      <c r="M89" s="32"/>
      <c r="N89" s="32"/>
      <c r="O89" s="32"/>
      <c r="P89" s="32"/>
      <c r="Q89" s="32"/>
    </row>
    <row r="90" spans="2:17" hidden="1" outlineLevel="1" x14ac:dyDescent="0.25">
      <c r="B90" s="10" t="s">
        <v>35</v>
      </c>
      <c r="C90" s="32">
        <v>0.5</v>
      </c>
      <c r="D90" s="32">
        <v>0.3</v>
      </c>
      <c r="E90" s="32">
        <v>0.1</v>
      </c>
      <c r="F90" s="32">
        <v>9.9999999999999978E-2</v>
      </c>
      <c r="G90" s="32"/>
      <c r="H90" s="32"/>
      <c r="I90" s="32"/>
      <c r="J90" s="32"/>
      <c r="K90" s="32"/>
      <c r="L90" s="32"/>
      <c r="M90" s="32"/>
      <c r="N90" s="32"/>
      <c r="O90" s="32"/>
      <c r="P90" s="32"/>
      <c r="Q90" s="32"/>
    </row>
    <row r="91" spans="2:17" hidden="1" outlineLevel="1" x14ac:dyDescent="0.25">
      <c r="B91" s="10" t="s">
        <v>36</v>
      </c>
      <c r="C91" s="32">
        <v>0.35</v>
      </c>
      <c r="D91" s="32">
        <v>0.33</v>
      </c>
      <c r="E91" s="32">
        <v>0.08</v>
      </c>
      <c r="F91" s="32">
        <v>0.08</v>
      </c>
      <c r="G91" s="32">
        <v>0</v>
      </c>
      <c r="H91" s="32">
        <v>0.04</v>
      </c>
      <c r="I91" s="32">
        <v>0.03</v>
      </c>
      <c r="J91" s="32">
        <v>0.09</v>
      </c>
      <c r="K91" s="32"/>
      <c r="L91" s="32"/>
      <c r="M91" s="32"/>
      <c r="N91" s="32"/>
      <c r="O91" s="32"/>
      <c r="P91" s="32"/>
      <c r="Q91" s="32"/>
    </row>
    <row r="92" spans="2:17" hidden="1" outlineLevel="1" x14ac:dyDescent="0.25">
      <c r="B92" s="10" t="s">
        <v>37</v>
      </c>
      <c r="C92" s="32">
        <v>0.6</v>
      </c>
      <c r="D92" s="32">
        <v>0.25</v>
      </c>
      <c r="E92" s="32">
        <v>0.1</v>
      </c>
      <c r="F92" s="32">
        <v>0.05</v>
      </c>
      <c r="G92" s="32"/>
      <c r="H92" s="32"/>
      <c r="I92" s="32"/>
      <c r="J92" s="32"/>
      <c r="K92" s="32"/>
      <c r="L92" s="32"/>
      <c r="M92" s="32"/>
      <c r="N92" s="32"/>
      <c r="O92" s="32"/>
      <c r="P92" s="32"/>
      <c r="Q92" s="32"/>
    </row>
    <row r="93" spans="2:17" hidden="1" outlineLevel="1" x14ac:dyDescent="0.25">
      <c r="B93" s="10" t="s">
        <v>39</v>
      </c>
      <c r="C93" s="32">
        <v>0.24</v>
      </c>
      <c r="D93" s="32">
        <v>0.4</v>
      </c>
      <c r="E93" s="32">
        <v>0.21</v>
      </c>
      <c r="F93" s="32">
        <v>0.12</v>
      </c>
      <c r="G93" s="32">
        <f>1-SUM(C93:F93)</f>
        <v>3.0000000000000027E-2</v>
      </c>
      <c r="H93" s="32"/>
      <c r="I93" s="32"/>
      <c r="J93" s="32"/>
      <c r="K93" s="32"/>
      <c r="L93" s="32"/>
      <c r="M93" s="32"/>
      <c r="N93" s="32"/>
      <c r="O93" s="32"/>
      <c r="P93" s="32"/>
      <c r="Q93" s="32"/>
    </row>
    <row r="94" spans="2:17" hidden="1" outlineLevel="1" x14ac:dyDescent="0.25">
      <c r="B94" s="10" t="s">
        <v>40</v>
      </c>
      <c r="C94" s="32">
        <v>0.24</v>
      </c>
      <c r="D94" s="32">
        <v>0.4</v>
      </c>
      <c r="E94" s="32">
        <v>0.21</v>
      </c>
      <c r="F94" s="32">
        <v>0.12</v>
      </c>
      <c r="G94" s="32">
        <f>1-SUM(C94:F94)</f>
        <v>3.0000000000000027E-2</v>
      </c>
      <c r="H94" s="32"/>
      <c r="I94" s="32"/>
      <c r="J94" s="32"/>
      <c r="K94" s="32"/>
      <c r="L94" s="32"/>
      <c r="M94" s="32"/>
      <c r="N94" s="32"/>
      <c r="O94" s="32"/>
      <c r="P94" s="32"/>
      <c r="Q94" s="32"/>
    </row>
    <row r="95" spans="2:17" hidden="1" outlineLevel="1" x14ac:dyDescent="0.25">
      <c r="B95" s="10" t="s">
        <v>41</v>
      </c>
      <c r="C95" s="32">
        <v>0.5</v>
      </c>
      <c r="D95" s="32">
        <v>0.3</v>
      </c>
      <c r="E95" s="32">
        <v>0.1</v>
      </c>
      <c r="F95" s="32">
        <v>9.9999999999999978E-2</v>
      </c>
      <c r="G95" s="32"/>
      <c r="H95" s="32"/>
      <c r="I95" s="32"/>
      <c r="J95" s="32"/>
      <c r="K95" s="32"/>
      <c r="L95" s="32"/>
      <c r="M95" s="32"/>
      <c r="N95" s="32"/>
      <c r="O95" s="32"/>
      <c r="P95" s="32"/>
      <c r="Q95" s="32"/>
    </row>
    <row r="96" spans="2:17" hidden="1" outlineLevel="1" x14ac:dyDescent="0.25">
      <c r="B96" s="10" t="s">
        <v>42</v>
      </c>
      <c r="C96" s="32">
        <v>0.35</v>
      </c>
      <c r="D96" s="32">
        <v>0.33</v>
      </c>
      <c r="E96" s="32">
        <v>0.08</v>
      </c>
      <c r="F96" s="32">
        <v>0.08</v>
      </c>
      <c r="G96" s="32">
        <v>0</v>
      </c>
      <c r="H96" s="32">
        <v>0.04</v>
      </c>
      <c r="I96" s="32">
        <v>0.03</v>
      </c>
      <c r="J96" s="32">
        <v>0.09</v>
      </c>
      <c r="K96" s="32"/>
      <c r="L96" s="32"/>
      <c r="M96" s="32"/>
      <c r="N96" s="32"/>
      <c r="O96" s="32"/>
      <c r="P96" s="32"/>
      <c r="Q96" s="32"/>
    </row>
    <row r="97" spans="2:17" hidden="1" outlineLevel="1" x14ac:dyDescent="0.25">
      <c r="B97" s="10" t="s">
        <v>43</v>
      </c>
      <c r="C97" s="32">
        <v>0.35</v>
      </c>
      <c r="D97" s="32">
        <v>0.33</v>
      </c>
      <c r="E97" s="32">
        <v>0.08</v>
      </c>
      <c r="F97" s="32">
        <v>0.08</v>
      </c>
      <c r="G97" s="32">
        <v>0</v>
      </c>
      <c r="H97" s="32">
        <v>0.04</v>
      </c>
      <c r="I97" s="32">
        <v>0.03</v>
      </c>
      <c r="J97" s="32">
        <v>0.09</v>
      </c>
      <c r="K97" s="32"/>
      <c r="L97" s="32"/>
      <c r="M97" s="32"/>
      <c r="N97" s="32"/>
      <c r="O97" s="32"/>
      <c r="P97" s="32"/>
      <c r="Q97" s="32"/>
    </row>
    <row r="98" spans="2:17" hidden="1" outlineLevel="1" x14ac:dyDescent="0.25">
      <c r="B98" s="10" t="s">
        <v>48</v>
      </c>
      <c r="C98" s="32">
        <v>0.35</v>
      </c>
      <c r="D98" s="32">
        <v>0.33</v>
      </c>
      <c r="E98" s="32">
        <v>0.08</v>
      </c>
      <c r="F98" s="32">
        <v>0.08</v>
      </c>
      <c r="G98" s="32">
        <v>0</v>
      </c>
      <c r="H98" s="32">
        <v>0.04</v>
      </c>
      <c r="I98" s="32">
        <v>0.03</v>
      </c>
      <c r="J98" s="32">
        <v>0.09</v>
      </c>
      <c r="K98" s="32"/>
      <c r="L98" s="32"/>
      <c r="M98" s="32"/>
      <c r="N98" s="32"/>
      <c r="O98" s="32"/>
      <c r="P98" s="32"/>
      <c r="Q98" s="32"/>
    </row>
    <row r="99" spans="2:17" hidden="1" outlineLevel="1" x14ac:dyDescent="0.25">
      <c r="B99" s="10" t="s">
        <v>44</v>
      </c>
      <c r="C99" s="32">
        <v>0.24</v>
      </c>
      <c r="D99" s="32">
        <v>0.4</v>
      </c>
      <c r="E99" s="32">
        <v>0.21</v>
      </c>
      <c r="F99" s="32">
        <v>0.12</v>
      </c>
      <c r="G99" s="32">
        <f>1-SUM(C99:F99)</f>
        <v>3.0000000000000027E-2</v>
      </c>
      <c r="H99" s="32"/>
      <c r="I99" s="32"/>
      <c r="J99" s="32"/>
      <c r="K99" s="32"/>
      <c r="L99" s="32"/>
      <c r="M99" s="32"/>
      <c r="N99" s="32"/>
      <c r="O99" s="32"/>
      <c r="P99" s="32"/>
      <c r="Q99" s="32"/>
    </row>
    <row r="100" spans="2:17" hidden="1" outlineLevel="1" x14ac:dyDescent="0.25">
      <c r="B100" s="10" t="s">
        <v>45</v>
      </c>
      <c r="C100" s="32">
        <v>0.24</v>
      </c>
      <c r="D100" s="32">
        <v>0.4</v>
      </c>
      <c r="E100" s="32">
        <v>0.21</v>
      </c>
      <c r="F100" s="32">
        <v>0.12</v>
      </c>
      <c r="G100" s="32">
        <f>1-SUM(C100:F100)</f>
        <v>3.0000000000000027E-2</v>
      </c>
      <c r="H100" s="32"/>
      <c r="I100" s="32"/>
      <c r="J100" s="32"/>
      <c r="K100" s="32"/>
      <c r="L100" s="32"/>
      <c r="M100" s="32"/>
      <c r="N100" s="32"/>
      <c r="O100" s="32"/>
      <c r="P100" s="32"/>
      <c r="Q100" s="32"/>
    </row>
    <row r="101" spans="2:17" hidden="1" outlineLevel="1" x14ac:dyDescent="0.25">
      <c r="B101" s="10" t="s">
        <v>46</v>
      </c>
      <c r="C101" s="32">
        <v>0.03</v>
      </c>
      <c r="D101" s="32">
        <v>0.15</v>
      </c>
      <c r="E101" s="32">
        <v>0.16</v>
      </c>
      <c r="F101" s="32">
        <v>0.14000000000000001</v>
      </c>
      <c r="G101" s="32">
        <v>0.09</v>
      </c>
      <c r="H101" s="32">
        <v>0.08</v>
      </c>
      <c r="I101" s="32">
        <v>0.06</v>
      </c>
      <c r="J101" s="32">
        <v>0.06</v>
      </c>
      <c r="K101" s="32">
        <v>0.05</v>
      </c>
      <c r="L101" s="32">
        <v>0.04</v>
      </c>
      <c r="M101" s="32">
        <v>0.03</v>
      </c>
      <c r="N101" s="32">
        <v>0.03</v>
      </c>
      <c r="O101" s="32">
        <v>0.08</v>
      </c>
      <c r="P101" s="32"/>
      <c r="Q101" s="32"/>
    </row>
    <row r="102" spans="2:17" collapsed="1" x14ac:dyDescent="0.25"/>
    <row r="103" spans="2:17" x14ac:dyDescent="0.25">
      <c r="B103" s="33" t="s">
        <v>115</v>
      </c>
    </row>
    <row r="104" spans="2:17" hidden="1" outlineLevel="1" x14ac:dyDescent="0.25">
      <c r="B104" s="2" t="s">
        <v>16</v>
      </c>
      <c r="C104" s="2" t="s">
        <v>82</v>
      </c>
      <c r="D104" s="2" t="s">
        <v>83</v>
      </c>
      <c r="E104" s="2" t="s">
        <v>84</v>
      </c>
      <c r="F104" s="2" t="s">
        <v>85</v>
      </c>
      <c r="G104" s="2" t="s">
        <v>86</v>
      </c>
      <c r="H104" s="2" t="s">
        <v>87</v>
      </c>
      <c r="I104" s="2" t="s">
        <v>88</v>
      </c>
      <c r="J104" s="2" t="s">
        <v>89</v>
      </c>
      <c r="K104" s="2" t="s">
        <v>90</v>
      </c>
      <c r="L104" s="2" t="s">
        <v>91</v>
      </c>
      <c r="M104" s="2" t="s">
        <v>92</v>
      </c>
      <c r="N104" s="2" t="s">
        <v>93</v>
      </c>
      <c r="O104" s="2" t="s">
        <v>94</v>
      </c>
      <c r="P104" s="2" t="s">
        <v>95</v>
      </c>
      <c r="Q104" s="2" t="s">
        <v>96</v>
      </c>
    </row>
    <row r="105" spans="2:17" hidden="1" outlineLevel="1" x14ac:dyDescent="0.25">
      <c r="B105" s="10" t="s">
        <v>97</v>
      </c>
      <c r="C105" s="32">
        <v>0.15</v>
      </c>
      <c r="D105" s="32">
        <v>0.21</v>
      </c>
      <c r="E105" s="32">
        <v>0.17</v>
      </c>
      <c r="F105" s="32">
        <v>0.15</v>
      </c>
      <c r="G105" s="32">
        <v>0.09</v>
      </c>
      <c r="H105" s="32">
        <v>0.06</v>
      </c>
      <c r="I105" s="32">
        <v>0.05</v>
      </c>
      <c r="J105" s="32">
        <v>0.03</v>
      </c>
      <c r="K105" s="32">
        <v>0.03</v>
      </c>
      <c r="L105" s="32">
        <v>0.04</v>
      </c>
      <c r="M105" s="32">
        <v>0.02</v>
      </c>
      <c r="N105" s="32"/>
      <c r="O105" s="32"/>
      <c r="P105" s="32"/>
      <c r="Q105" s="32"/>
    </row>
    <row r="106" spans="2:17" hidden="1" outlineLevel="1" x14ac:dyDescent="0.25">
      <c r="B106" s="10" t="s">
        <v>98</v>
      </c>
      <c r="C106" s="32">
        <v>0.15</v>
      </c>
      <c r="D106" s="32">
        <v>0.21</v>
      </c>
      <c r="E106" s="32">
        <v>0.17</v>
      </c>
      <c r="F106" s="32">
        <v>0.15</v>
      </c>
      <c r="G106" s="32">
        <v>0.09</v>
      </c>
      <c r="H106" s="32">
        <v>0.06</v>
      </c>
      <c r="I106" s="32">
        <v>0.05</v>
      </c>
      <c r="J106" s="32">
        <v>0.03</v>
      </c>
      <c r="K106" s="32">
        <v>0.03</v>
      </c>
      <c r="L106" s="32">
        <v>0.04</v>
      </c>
      <c r="M106" s="32">
        <v>0.02</v>
      </c>
      <c r="N106" s="32"/>
      <c r="O106" s="32"/>
      <c r="P106" s="32"/>
      <c r="Q106" s="32"/>
    </row>
    <row r="107" spans="2:17" hidden="1" outlineLevel="1" x14ac:dyDescent="0.25">
      <c r="B107" s="10" t="s">
        <v>99</v>
      </c>
      <c r="C107" s="32">
        <v>0.15</v>
      </c>
      <c r="D107" s="32">
        <v>0.21</v>
      </c>
      <c r="E107" s="32">
        <v>0.17</v>
      </c>
      <c r="F107" s="32">
        <v>0.15</v>
      </c>
      <c r="G107" s="32">
        <v>0.09</v>
      </c>
      <c r="H107" s="32">
        <v>0.06</v>
      </c>
      <c r="I107" s="32">
        <v>0.05</v>
      </c>
      <c r="J107" s="32">
        <v>0.03</v>
      </c>
      <c r="K107" s="32">
        <v>0.03</v>
      </c>
      <c r="L107" s="32">
        <v>0.04</v>
      </c>
      <c r="M107" s="32">
        <v>0.02</v>
      </c>
      <c r="N107" s="32"/>
      <c r="O107" s="32"/>
      <c r="P107" s="32"/>
      <c r="Q107" s="32"/>
    </row>
    <row r="108" spans="2:17" hidden="1" outlineLevel="1" x14ac:dyDescent="0.25">
      <c r="B108" s="10" t="s">
        <v>100</v>
      </c>
      <c r="C108" s="32">
        <v>0.15</v>
      </c>
      <c r="D108" s="32">
        <v>0.21</v>
      </c>
      <c r="E108" s="32">
        <v>0.17</v>
      </c>
      <c r="F108" s="32">
        <v>0.15</v>
      </c>
      <c r="G108" s="32">
        <v>0.09</v>
      </c>
      <c r="H108" s="32">
        <v>0.06</v>
      </c>
      <c r="I108" s="32">
        <v>0.05</v>
      </c>
      <c r="J108" s="32">
        <v>0.03</v>
      </c>
      <c r="K108" s="32">
        <v>0.03</v>
      </c>
      <c r="L108" s="32">
        <v>0.04</v>
      </c>
      <c r="M108" s="32">
        <v>0.02</v>
      </c>
      <c r="N108" s="32"/>
      <c r="O108" s="32"/>
      <c r="P108" s="32"/>
      <c r="Q108" s="32"/>
    </row>
    <row r="109" spans="2:17" hidden="1" outlineLevel="1" x14ac:dyDescent="0.25">
      <c r="B109" s="10" t="s">
        <v>101</v>
      </c>
      <c r="C109" s="32">
        <v>0.15</v>
      </c>
      <c r="D109" s="32">
        <v>0.21</v>
      </c>
      <c r="E109" s="32">
        <v>0.17</v>
      </c>
      <c r="F109" s="32">
        <v>0.15</v>
      </c>
      <c r="G109" s="32">
        <v>0.09</v>
      </c>
      <c r="H109" s="32">
        <v>0.06</v>
      </c>
      <c r="I109" s="32">
        <v>0.05</v>
      </c>
      <c r="J109" s="32">
        <v>0.03</v>
      </c>
      <c r="K109" s="32">
        <v>0.03</v>
      </c>
      <c r="L109" s="32">
        <v>0.04</v>
      </c>
      <c r="M109" s="32">
        <v>0.02</v>
      </c>
      <c r="N109" s="32"/>
      <c r="O109" s="32"/>
      <c r="P109" s="32"/>
      <c r="Q109" s="32"/>
    </row>
    <row r="110" spans="2:17" hidden="1" outlineLevel="1" x14ac:dyDescent="0.25">
      <c r="B110" s="10" t="s">
        <v>102</v>
      </c>
      <c r="C110" s="32">
        <v>0.15</v>
      </c>
      <c r="D110" s="32">
        <v>0.21</v>
      </c>
      <c r="E110" s="32">
        <v>0.17</v>
      </c>
      <c r="F110" s="32">
        <v>0.15</v>
      </c>
      <c r="G110" s="32">
        <v>0.09</v>
      </c>
      <c r="H110" s="32">
        <v>0.06</v>
      </c>
      <c r="I110" s="32">
        <v>0.05</v>
      </c>
      <c r="J110" s="32">
        <v>0.03</v>
      </c>
      <c r="K110" s="32">
        <v>0.03</v>
      </c>
      <c r="L110" s="32">
        <v>0.04</v>
      </c>
      <c r="M110" s="32">
        <v>0.02</v>
      </c>
      <c r="N110" s="32"/>
      <c r="O110" s="32"/>
      <c r="P110" s="32"/>
      <c r="Q110" s="32"/>
    </row>
    <row r="111" spans="2:17" hidden="1" outlineLevel="1" x14ac:dyDescent="0.25">
      <c r="B111" s="10" t="s">
        <v>103</v>
      </c>
      <c r="C111" s="32">
        <v>0.15</v>
      </c>
      <c r="D111" s="32">
        <v>0.21</v>
      </c>
      <c r="E111" s="32">
        <v>0.17</v>
      </c>
      <c r="F111" s="32">
        <v>0.15</v>
      </c>
      <c r="G111" s="32">
        <v>0.09</v>
      </c>
      <c r="H111" s="32">
        <v>0.06</v>
      </c>
      <c r="I111" s="32">
        <v>0.05</v>
      </c>
      <c r="J111" s="32">
        <v>0.03</v>
      </c>
      <c r="K111" s="32">
        <v>0.03</v>
      </c>
      <c r="L111" s="32">
        <v>0.04</v>
      </c>
      <c r="M111" s="32">
        <v>0.02</v>
      </c>
      <c r="N111" s="32"/>
      <c r="O111" s="32"/>
      <c r="P111" s="32"/>
      <c r="Q111" s="32"/>
    </row>
    <row r="112" spans="2:17" hidden="1" outlineLevel="1" x14ac:dyDescent="0.25">
      <c r="B112" s="10" t="s">
        <v>104</v>
      </c>
      <c r="C112" s="32">
        <v>0.15</v>
      </c>
      <c r="D112" s="32">
        <v>0.21</v>
      </c>
      <c r="E112" s="32">
        <v>0.17</v>
      </c>
      <c r="F112" s="32">
        <v>0.15</v>
      </c>
      <c r="G112" s="32">
        <v>0.09</v>
      </c>
      <c r="H112" s="32">
        <v>0.06</v>
      </c>
      <c r="I112" s="32">
        <v>0.05</v>
      </c>
      <c r="J112" s="32">
        <v>0.03</v>
      </c>
      <c r="K112" s="32">
        <v>0.03</v>
      </c>
      <c r="L112" s="32">
        <v>0.04</v>
      </c>
      <c r="M112" s="32">
        <v>0.02</v>
      </c>
      <c r="N112" s="32"/>
      <c r="O112" s="32"/>
      <c r="P112" s="32"/>
      <c r="Q112" s="32"/>
    </row>
    <row r="113" spans="2:17" hidden="1" outlineLevel="1" x14ac:dyDescent="0.25">
      <c r="B113" s="10" t="s">
        <v>105</v>
      </c>
      <c r="C113" s="32">
        <v>0.15</v>
      </c>
      <c r="D113" s="32">
        <v>0.21</v>
      </c>
      <c r="E113" s="32">
        <v>0.17</v>
      </c>
      <c r="F113" s="32">
        <v>0.15</v>
      </c>
      <c r="G113" s="32">
        <v>0.09</v>
      </c>
      <c r="H113" s="32">
        <v>0.06</v>
      </c>
      <c r="I113" s="32">
        <v>0.05</v>
      </c>
      <c r="J113" s="32">
        <v>0.03</v>
      </c>
      <c r="K113" s="32">
        <v>0.03</v>
      </c>
      <c r="L113" s="32">
        <v>0.04</v>
      </c>
      <c r="M113" s="32">
        <v>0.02</v>
      </c>
      <c r="N113" s="32"/>
      <c r="O113" s="32"/>
      <c r="P113" s="32"/>
      <c r="Q113" s="32"/>
    </row>
    <row r="114" spans="2:17" hidden="1" outlineLevel="1" x14ac:dyDescent="0.25">
      <c r="B114" s="10" t="s">
        <v>106</v>
      </c>
      <c r="C114" s="32">
        <v>0.15</v>
      </c>
      <c r="D114" s="32">
        <v>0.21</v>
      </c>
      <c r="E114" s="32">
        <v>0.17</v>
      </c>
      <c r="F114" s="32">
        <v>0.15</v>
      </c>
      <c r="G114" s="32">
        <v>0.09</v>
      </c>
      <c r="H114" s="32">
        <v>0.06</v>
      </c>
      <c r="I114" s="32">
        <v>0.05</v>
      </c>
      <c r="J114" s="32">
        <v>0.03</v>
      </c>
      <c r="K114" s="32">
        <v>0.03</v>
      </c>
      <c r="L114" s="32">
        <v>0.04</v>
      </c>
      <c r="M114" s="32">
        <v>0.02</v>
      </c>
      <c r="N114" s="32"/>
      <c r="O114" s="32"/>
      <c r="P114" s="32"/>
      <c r="Q114" s="32"/>
    </row>
    <row r="115" spans="2:17" collapsed="1" x14ac:dyDescent="0.25"/>
    <row r="116" spans="2:17" x14ac:dyDescent="0.25">
      <c r="B116" s="33" t="s">
        <v>116</v>
      </c>
    </row>
    <row r="117" spans="2:17" hidden="1" outlineLevel="1" x14ac:dyDescent="0.25">
      <c r="B117" s="2" t="s">
        <v>16</v>
      </c>
      <c r="C117" s="2" t="s">
        <v>82</v>
      </c>
      <c r="D117" s="2" t="s">
        <v>83</v>
      </c>
      <c r="E117" s="2" t="s">
        <v>84</v>
      </c>
      <c r="F117" s="2" t="s">
        <v>85</v>
      </c>
      <c r="G117" s="2" t="s">
        <v>86</v>
      </c>
      <c r="H117" s="2" t="s">
        <v>87</v>
      </c>
      <c r="I117" s="2" t="s">
        <v>88</v>
      </c>
      <c r="J117" s="2" t="s">
        <v>89</v>
      </c>
      <c r="K117" s="2" t="s">
        <v>90</v>
      </c>
      <c r="L117" s="2" t="s">
        <v>91</v>
      </c>
      <c r="M117" s="2" t="s">
        <v>92</v>
      </c>
      <c r="N117" s="2" t="s">
        <v>93</v>
      </c>
      <c r="O117" s="2" t="s">
        <v>94</v>
      </c>
      <c r="P117" s="2" t="s">
        <v>95</v>
      </c>
      <c r="Q117" s="2" t="s">
        <v>96</v>
      </c>
    </row>
    <row r="118" spans="2:17" hidden="1" outlineLevel="1" x14ac:dyDescent="0.25">
      <c r="B118" s="10" t="s">
        <v>97</v>
      </c>
      <c r="C118" s="32">
        <v>0.35</v>
      </c>
      <c r="D118" s="32">
        <v>0.4</v>
      </c>
      <c r="E118" s="32">
        <v>0.2</v>
      </c>
      <c r="F118" s="32">
        <v>0.05</v>
      </c>
      <c r="G118" s="32"/>
      <c r="H118" s="32"/>
      <c r="I118" s="32"/>
      <c r="J118" s="32"/>
      <c r="K118" s="32"/>
      <c r="L118" s="32"/>
      <c r="M118" s="32"/>
      <c r="N118" s="32"/>
      <c r="O118" s="32"/>
      <c r="P118" s="32"/>
      <c r="Q118" s="32"/>
    </row>
    <row r="119" spans="2:17" hidden="1" outlineLevel="1" x14ac:dyDescent="0.25">
      <c r="B119" s="10" t="s">
        <v>98</v>
      </c>
      <c r="C119" s="32">
        <v>0.35</v>
      </c>
      <c r="D119" s="32">
        <v>0.4</v>
      </c>
      <c r="E119" s="32">
        <v>0.2</v>
      </c>
      <c r="F119" s="32">
        <v>0.05</v>
      </c>
      <c r="G119" s="32"/>
      <c r="H119" s="32"/>
      <c r="I119" s="32"/>
      <c r="J119" s="32"/>
      <c r="K119" s="32"/>
      <c r="L119" s="32"/>
      <c r="M119" s="32"/>
      <c r="N119" s="32"/>
      <c r="O119" s="32"/>
      <c r="P119" s="32"/>
      <c r="Q119" s="32"/>
    </row>
    <row r="120" spans="2:17" hidden="1" outlineLevel="1" x14ac:dyDescent="0.25">
      <c r="B120" s="10" t="s">
        <v>99</v>
      </c>
      <c r="C120" s="32">
        <v>0.35</v>
      </c>
      <c r="D120" s="32">
        <v>0.4</v>
      </c>
      <c r="E120" s="32">
        <v>0.2</v>
      </c>
      <c r="F120" s="32">
        <v>0.05</v>
      </c>
      <c r="G120" s="32"/>
      <c r="H120" s="32"/>
      <c r="I120" s="32"/>
      <c r="J120" s="32"/>
      <c r="K120" s="32"/>
      <c r="L120" s="32"/>
      <c r="M120" s="32"/>
      <c r="N120" s="32"/>
      <c r="O120" s="32"/>
      <c r="P120" s="32"/>
      <c r="Q120" s="32"/>
    </row>
    <row r="121" spans="2:17" hidden="1" outlineLevel="1" x14ac:dyDescent="0.25">
      <c r="B121" s="10" t="s">
        <v>100</v>
      </c>
      <c r="C121" s="32">
        <v>0.35</v>
      </c>
      <c r="D121" s="32">
        <v>0.4</v>
      </c>
      <c r="E121" s="32">
        <v>0.2</v>
      </c>
      <c r="F121" s="32">
        <v>0.05</v>
      </c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</row>
    <row r="122" spans="2:17" hidden="1" outlineLevel="1" x14ac:dyDescent="0.25">
      <c r="B122" s="10" t="s">
        <v>101</v>
      </c>
      <c r="C122" s="32">
        <v>0.35</v>
      </c>
      <c r="D122" s="32">
        <v>0.4</v>
      </c>
      <c r="E122" s="32">
        <v>0.2</v>
      </c>
      <c r="F122" s="32">
        <v>0.05</v>
      </c>
      <c r="G122" s="32"/>
      <c r="H122" s="32"/>
      <c r="I122" s="32"/>
      <c r="J122" s="32"/>
      <c r="K122" s="32"/>
      <c r="L122" s="32"/>
      <c r="M122" s="32"/>
      <c r="N122" s="32"/>
      <c r="O122" s="32"/>
      <c r="P122" s="32"/>
      <c r="Q122" s="32"/>
    </row>
    <row r="123" spans="2:17" hidden="1" outlineLevel="1" x14ac:dyDescent="0.25">
      <c r="B123" s="10" t="s">
        <v>102</v>
      </c>
      <c r="C123" s="32">
        <v>0.35</v>
      </c>
      <c r="D123" s="32">
        <v>0.4</v>
      </c>
      <c r="E123" s="32">
        <v>0.2</v>
      </c>
      <c r="F123" s="32">
        <v>0.05</v>
      </c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</row>
    <row r="124" spans="2:17" hidden="1" outlineLevel="1" x14ac:dyDescent="0.25">
      <c r="B124" s="10" t="s">
        <v>103</v>
      </c>
      <c r="C124" s="32">
        <v>0.35</v>
      </c>
      <c r="D124" s="32">
        <v>0.4</v>
      </c>
      <c r="E124" s="32">
        <v>0.2</v>
      </c>
      <c r="F124" s="32">
        <v>0.05</v>
      </c>
      <c r="G124" s="32"/>
      <c r="H124" s="32"/>
      <c r="I124" s="32"/>
      <c r="J124" s="32"/>
      <c r="K124" s="32"/>
      <c r="L124" s="32"/>
      <c r="M124" s="32"/>
      <c r="N124" s="32"/>
      <c r="O124" s="32"/>
      <c r="P124" s="32"/>
      <c r="Q124" s="32"/>
    </row>
    <row r="125" spans="2:17" hidden="1" outlineLevel="1" x14ac:dyDescent="0.25">
      <c r="B125" s="10" t="s">
        <v>104</v>
      </c>
      <c r="C125" s="32">
        <v>0.35</v>
      </c>
      <c r="D125" s="32">
        <v>0.4</v>
      </c>
      <c r="E125" s="32">
        <v>0.2</v>
      </c>
      <c r="F125" s="32">
        <v>0.05</v>
      </c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</row>
    <row r="126" spans="2:17" hidden="1" outlineLevel="1" x14ac:dyDescent="0.25">
      <c r="B126" s="10" t="s">
        <v>105</v>
      </c>
      <c r="C126" s="32">
        <v>0.35</v>
      </c>
      <c r="D126" s="32">
        <v>0.4</v>
      </c>
      <c r="E126" s="32">
        <v>0.2</v>
      </c>
      <c r="F126" s="32">
        <v>0.05</v>
      </c>
      <c r="G126" s="32"/>
      <c r="H126" s="32"/>
      <c r="I126" s="32"/>
      <c r="J126" s="32"/>
      <c r="K126" s="32"/>
      <c r="L126" s="32"/>
      <c r="M126" s="32"/>
      <c r="N126" s="32"/>
      <c r="O126" s="32"/>
      <c r="P126" s="32"/>
      <c r="Q126" s="32"/>
    </row>
    <row r="127" spans="2:17" hidden="1" outlineLevel="1" x14ac:dyDescent="0.25">
      <c r="B127" s="10" t="s">
        <v>106</v>
      </c>
      <c r="C127" s="32">
        <v>0.35</v>
      </c>
      <c r="D127" s="32">
        <v>0.4</v>
      </c>
      <c r="E127" s="32">
        <v>0.2</v>
      </c>
      <c r="F127" s="32">
        <v>0.05</v>
      </c>
      <c r="G127" s="32"/>
      <c r="H127" s="32"/>
      <c r="I127" s="32"/>
      <c r="J127" s="32"/>
      <c r="K127" s="32"/>
      <c r="L127" s="32"/>
      <c r="M127" s="32"/>
      <c r="N127" s="32"/>
      <c r="O127" s="32"/>
      <c r="P127" s="32"/>
      <c r="Q127" s="32"/>
    </row>
    <row r="128" spans="2:17" hidden="1" outlineLevel="1" x14ac:dyDescent="0.25">
      <c r="B128" s="10" t="s">
        <v>107</v>
      </c>
      <c r="C128" s="32">
        <v>0.24</v>
      </c>
      <c r="D128" s="32">
        <v>0.4</v>
      </c>
      <c r="E128" s="32">
        <v>0.21</v>
      </c>
      <c r="F128" s="32">
        <v>0.12</v>
      </c>
      <c r="G128" s="32">
        <f>1-SUM(C128:F128)</f>
        <v>3.0000000000000027E-2</v>
      </c>
      <c r="H128" s="32"/>
      <c r="I128" s="32"/>
      <c r="J128" s="32"/>
      <c r="K128" s="32"/>
      <c r="L128" s="32"/>
      <c r="M128" s="32"/>
      <c r="N128" s="32"/>
      <c r="O128" s="32"/>
      <c r="P128" s="32"/>
      <c r="Q128" s="32"/>
    </row>
    <row r="129" spans="2:17" hidden="1" outlineLevel="1" x14ac:dyDescent="0.25">
      <c r="B129" s="10" t="s">
        <v>108</v>
      </c>
      <c r="C129" s="32">
        <v>0.24</v>
      </c>
      <c r="D129" s="32">
        <v>0.4</v>
      </c>
      <c r="E129" s="32">
        <v>0.21</v>
      </c>
      <c r="F129" s="32">
        <v>0.12</v>
      </c>
      <c r="G129" s="32">
        <f>1-SUM(C129:F129)</f>
        <v>3.0000000000000027E-2</v>
      </c>
      <c r="H129" s="32"/>
      <c r="I129" s="32"/>
      <c r="J129" s="32"/>
      <c r="K129" s="32"/>
      <c r="L129" s="32"/>
      <c r="M129" s="32"/>
      <c r="N129" s="32"/>
      <c r="O129" s="32"/>
      <c r="P129" s="32"/>
      <c r="Q129" s="32"/>
    </row>
    <row r="130" spans="2:17" hidden="1" outlineLevel="1" x14ac:dyDescent="0.25">
      <c r="B130" s="10" t="s">
        <v>47</v>
      </c>
      <c r="C130" s="32">
        <v>0.24</v>
      </c>
      <c r="D130" s="32">
        <v>0.4</v>
      </c>
      <c r="E130" s="32">
        <v>0.21</v>
      </c>
      <c r="F130" s="32">
        <v>0.12</v>
      </c>
      <c r="G130" s="32">
        <f>1-SUM(C130:F130)</f>
        <v>3.0000000000000027E-2</v>
      </c>
      <c r="H130" s="32"/>
      <c r="I130" s="32"/>
      <c r="J130" s="32"/>
      <c r="K130" s="32"/>
      <c r="L130" s="32"/>
      <c r="M130" s="32"/>
      <c r="N130" s="32"/>
      <c r="O130" s="32"/>
      <c r="P130" s="32"/>
      <c r="Q130" s="32"/>
    </row>
    <row r="131" spans="2:17" hidden="1" outlineLevel="1" x14ac:dyDescent="0.25">
      <c r="B131" s="10" t="s">
        <v>109</v>
      </c>
      <c r="C131" s="32">
        <v>0.03</v>
      </c>
      <c r="D131" s="32">
        <v>0.15</v>
      </c>
      <c r="E131" s="32">
        <v>0.16</v>
      </c>
      <c r="F131" s="32">
        <v>0.14000000000000001</v>
      </c>
      <c r="G131" s="32">
        <v>0.09</v>
      </c>
      <c r="H131" s="32">
        <v>0.08</v>
      </c>
      <c r="I131" s="32">
        <v>0.06</v>
      </c>
      <c r="J131" s="32">
        <v>0.06</v>
      </c>
      <c r="K131" s="32">
        <v>0.05</v>
      </c>
      <c r="L131" s="32">
        <v>0.04</v>
      </c>
      <c r="M131" s="32">
        <v>0.03</v>
      </c>
      <c r="N131" s="32">
        <v>0.03</v>
      </c>
      <c r="O131" s="32">
        <v>0.08</v>
      </c>
      <c r="P131" s="32"/>
      <c r="Q131" s="32"/>
    </row>
    <row r="132" spans="2:17" hidden="1" outlineLevel="1" x14ac:dyDescent="0.25">
      <c r="B132" s="10" t="s">
        <v>110</v>
      </c>
      <c r="C132" s="32">
        <v>0.03</v>
      </c>
      <c r="D132" s="32">
        <v>0.15</v>
      </c>
      <c r="E132" s="32">
        <v>0.16</v>
      </c>
      <c r="F132" s="32">
        <v>0.14000000000000001</v>
      </c>
      <c r="G132" s="32">
        <v>0.09</v>
      </c>
      <c r="H132" s="32">
        <v>0.08</v>
      </c>
      <c r="I132" s="32">
        <v>0.06</v>
      </c>
      <c r="J132" s="32">
        <v>0.06</v>
      </c>
      <c r="K132" s="32">
        <v>0.05</v>
      </c>
      <c r="L132" s="32">
        <v>0.04</v>
      </c>
      <c r="M132" s="32">
        <v>0.03</v>
      </c>
      <c r="N132" s="32">
        <v>0.03</v>
      </c>
      <c r="O132" s="32">
        <v>0.08</v>
      </c>
      <c r="P132" s="32"/>
      <c r="Q132" s="32"/>
    </row>
    <row r="133" spans="2:17" hidden="1" outlineLevel="1" x14ac:dyDescent="0.25">
      <c r="B133" s="10" t="s">
        <v>111</v>
      </c>
      <c r="C133" s="32">
        <v>0.03</v>
      </c>
      <c r="D133" s="32">
        <v>0.15</v>
      </c>
      <c r="E133" s="32">
        <v>0.16</v>
      </c>
      <c r="F133" s="32">
        <v>0.14000000000000001</v>
      </c>
      <c r="G133" s="32">
        <v>0.09</v>
      </c>
      <c r="H133" s="32">
        <v>0.08</v>
      </c>
      <c r="I133" s="32">
        <v>0.06</v>
      </c>
      <c r="J133" s="32">
        <v>0.06</v>
      </c>
      <c r="K133" s="32">
        <v>0.05</v>
      </c>
      <c r="L133" s="32">
        <v>0.04</v>
      </c>
      <c r="M133" s="32">
        <v>0.03</v>
      </c>
      <c r="N133" s="32">
        <v>0.03</v>
      </c>
      <c r="O133" s="32">
        <v>0.08</v>
      </c>
      <c r="P133" s="32"/>
      <c r="Q133" s="32"/>
    </row>
    <row r="134" spans="2:17" hidden="1" outlineLevel="1" x14ac:dyDescent="0.25">
      <c r="B134" s="10" t="s">
        <v>38</v>
      </c>
      <c r="C134" s="32">
        <v>0.03</v>
      </c>
      <c r="D134" s="32">
        <v>0.15</v>
      </c>
      <c r="E134" s="32">
        <v>0.16</v>
      </c>
      <c r="F134" s="32">
        <v>0.14000000000000001</v>
      </c>
      <c r="G134" s="32">
        <v>0.09</v>
      </c>
      <c r="H134" s="32">
        <v>0.08</v>
      </c>
      <c r="I134" s="32">
        <v>0.06</v>
      </c>
      <c r="J134" s="32">
        <v>0.06</v>
      </c>
      <c r="K134" s="32">
        <v>0.05</v>
      </c>
      <c r="L134" s="32">
        <v>0.04</v>
      </c>
      <c r="M134" s="32">
        <v>0.03</v>
      </c>
      <c r="N134" s="32">
        <v>0.03</v>
      </c>
      <c r="O134" s="32">
        <v>0.08</v>
      </c>
      <c r="P134" s="32"/>
      <c r="Q134" s="32"/>
    </row>
    <row r="135" spans="2:17" hidden="1" outlineLevel="1" x14ac:dyDescent="0.25">
      <c r="B135" s="10" t="s">
        <v>23</v>
      </c>
      <c r="C135" s="32">
        <v>0.03</v>
      </c>
      <c r="D135" s="32">
        <v>0.15</v>
      </c>
      <c r="E135" s="32">
        <v>0.16</v>
      </c>
      <c r="F135" s="32">
        <v>0.14000000000000001</v>
      </c>
      <c r="G135" s="32">
        <v>0.09</v>
      </c>
      <c r="H135" s="32">
        <v>0.08</v>
      </c>
      <c r="I135" s="32">
        <v>0.06</v>
      </c>
      <c r="J135" s="32">
        <v>0.06</v>
      </c>
      <c r="K135" s="32">
        <v>0.05</v>
      </c>
      <c r="L135" s="32">
        <v>0.04</v>
      </c>
      <c r="M135" s="32">
        <v>0.03</v>
      </c>
      <c r="N135" s="32">
        <v>0.03</v>
      </c>
      <c r="O135" s="32">
        <v>0.08</v>
      </c>
      <c r="P135" s="32"/>
      <c r="Q135" s="32"/>
    </row>
    <row r="136" spans="2:17" hidden="1" outlineLevel="1" x14ac:dyDescent="0.25">
      <c r="B136" s="10" t="s">
        <v>24</v>
      </c>
      <c r="C136" s="32">
        <v>0.03</v>
      </c>
      <c r="D136" s="32">
        <v>0.15</v>
      </c>
      <c r="E136" s="32">
        <v>0.16</v>
      </c>
      <c r="F136" s="32">
        <v>0.14000000000000001</v>
      </c>
      <c r="G136" s="32">
        <v>0.09</v>
      </c>
      <c r="H136" s="32">
        <v>0.08</v>
      </c>
      <c r="I136" s="32">
        <v>0.06</v>
      </c>
      <c r="J136" s="32">
        <v>0.06</v>
      </c>
      <c r="K136" s="32">
        <v>0.05</v>
      </c>
      <c r="L136" s="32">
        <v>0.04</v>
      </c>
      <c r="M136" s="32">
        <v>0.03</v>
      </c>
      <c r="N136" s="32">
        <v>0.03</v>
      </c>
      <c r="O136" s="32">
        <v>0.08</v>
      </c>
      <c r="P136" s="32"/>
      <c r="Q136" s="32"/>
    </row>
    <row r="137" spans="2:17" hidden="1" outlineLevel="1" x14ac:dyDescent="0.25">
      <c r="B137" s="10" t="s">
        <v>25</v>
      </c>
      <c r="C137" s="32">
        <v>0.03</v>
      </c>
      <c r="D137" s="32">
        <v>0.15</v>
      </c>
      <c r="E137" s="32">
        <v>0.16</v>
      </c>
      <c r="F137" s="32">
        <v>0.14000000000000001</v>
      </c>
      <c r="G137" s="32">
        <v>0.09</v>
      </c>
      <c r="H137" s="32">
        <v>0.08</v>
      </c>
      <c r="I137" s="32">
        <v>0.06</v>
      </c>
      <c r="J137" s="32">
        <v>0.06</v>
      </c>
      <c r="K137" s="32">
        <v>0.05</v>
      </c>
      <c r="L137" s="32">
        <v>0.04</v>
      </c>
      <c r="M137" s="32">
        <v>0.03</v>
      </c>
      <c r="N137" s="32">
        <v>0.03</v>
      </c>
      <c r="O137" s="32">
        <v>0.08</v>
      </c>
      <c r="P137" s="32"/>
      <c r="Q137" s="32"/>
    </row>
    <row r="138" spans="2:17" hidden="1" outlineLevel="1" x14ac:dyDescent="0.25">
      <c r="B138" s="10" t="s">
        <v>26</v>
      </c>
      <c r="C138" s="32">
        <v>0.35</v>
      </c>
      <c r="D138" s="32">
        <v>0.33</v>
      </c>
      <c r="E138" s="32">
        <v>0.08</v>
      </c>
      <c r="F138" s="32">
        <v>0.08</v>
      </c>
      <c r="G138" s="32">
        <v>0</v>
      </c>
      <c r="H138" s="32">
        <v>0.04</v>
      </c>
      <c r="I138" s="32">
        <v>0.03</v>
      </c>
      <c r="J138" s="32">
        <v>0.09</v>
      </c>
      <c r="K138" s="32"/>
      <c r="L138" s="32"/>
      <c r="M138" s="32"/>
      <c r="N138" s="32"/>
      <c r="O138" s="32"/>
      <c r="P138" s="32"/>
      <c r="Q138" s="32"/>
    </row>
    <row r="139" spans="2:17" hidden="1" outlineLevel="1" x14ac:dyDescent="0.25">
      <c r="B139" s="10" t="s">
        <v>27</v>
      </c>
      <c r="C139" s="32">
        <v>0.03</v>
      </c>
      <c r="D139" s="32">
        <v>0.15</v>
      </c>
      <c r="E139" s="32">
        <v>0.16</v>
      </c>
      <c r="F139" s="32">
        <v>0.14000000000000001</v>
      </c>
      <c r="G139" s="32">
        <v>0.09</v>
      </c>
      <c r="H139" s="32">
        <v>0.08</v>
      </c>
      <c r="I139" s="32">
        <v>0.06</v>
      </c>
      <c r="J139" s="32">
        <v>0.06</v>
      </c>
      <c r="K139" s="32">
        <v>0.05</v>
      </c>
      <c r="L139" s="32">
        <v>0.04</v>
      </c>
      <c r="M139" s="32">
        <v>0.03</v>
      </c>
      <c r="N139" s="32">
        <v>0.03</v>
      </c>
      <c r="O139" s="32">
        <v>0.08</v>
      </c>
      <c r="P139" s="32"/>
      <c r="Q139" s="32"/>
    </row>
    <row r="140" spans="2:17" hidden="1" outlineLevel="1" x14ac:dyDescent="0.25">
      <c r="B140" s="10" t="s">
        <v>28</v>
      </c>
      <c r="C140" s="32">
        <v>0.03</v>
      </c>
      <c r="D140" s="32">
        <v>0.15</v>
      </c>
      <c r="E140" s="32">
        <v>0.16</v>
      </c>
      <c r="F140" s="32">
        <v>0.14000000000000001</v>
      </c>
      <c r="G140" s="32">
        <v>0.09</v>
      </c>
      <c r="H140" s="32">
        <v>0.08</v>
      </c>
      <c r="I140" s="32">
        <v>0.06</v>
      </c>
      <c r="J140" s="32">
        <v>0.06</v>
      </c>
      <c r="K140" s="32">
        <v>0.05</v>
      </c>
      <c r="L140" s="32">
        <v>0.04</v>
      </c>
      <c r="M140" s="32">
        <v>0.03</v>
      </c>
      <c r="N140" s="32">
        <v>0.03</v>
      </c>
      <c r="O140" s="32">
        <v>0.08</v>
      </c>
      <c r="P140" s="32"/>
      <c r="Q140" s="32"/>
    </row>
    <row r="141" spans="2:17" hidden="1" outlineLevel="1" x14ac:dyDescent="0.25">
      <c r="B141" s="10" t="s">
        <v>29</v>
      </c>
      <c r="C141" s="32">
        <v>0.03</v>
      </c>
      <c r="D141" s="32">
        <v>0.15</v>
      </c>
      <c r="E141" s="32">
        <v>0.16</v>
      </c>
      <c r="F141" s="32">
        <v>0.14000000000000001</v>
      </c>
      <c r="G141" s="32">
        <v>0.09</v>
      </c>
      <c r="H141" s="32">
        <v>0.08</v>
      </c>
      <c r="I141" s="32">
        <v>0.06</v>
      </c>
      <c r="J141" s="32">
        <v>0.06</v>
      </c>
      <c r="K141" s="32">
        <v>0.05</v>
      </c>
      <c r="L141" s="32">
        <v>0.04</v>
      </c>
      <c r="M141" s="32">
        <v>0.03</v>
      </c>
      <c r="N141" s="32">
        <v>0.03</v>
      </c>
      <c r="O141" s="32">
        <v>0.08</v>
      </c>
      <c r="P141" s="32"/>
      <c r="Q141" s="32"/>
    </row>
    <row r="142" spans="2:17" hidden="1" outlineLevel="1" x14ac:dyDescent="0.25">
      <c r="B142" s="10" t="s">
        <v>30</v>
      </c>
      <c r="C142" s="32">
        <v>0.24</v>
      </c>
      <c r="D142" s="32">
        <v>0.4</v>
      </c>
      <c r="E142" s="32">
        <v>0.21</v>
      </c>
      <c r="F142" s="32">
        <v>0.12</v>
      </c>
      <c r="G142" s="32">
        <f>1-SUM(C142:F142)</f>
        <v>3.0000000000000027E-2</v>
      </c>
      <c r="H142" s="32"/>
      <c r="I142" s="32"/>
      <c r="J142" s="32"/>
      <c r="K142" s="32"/>
      <c r="L142" s="32"/>
      <c r="M142" s="32"/>
      <c r="N142" s="32"/>
      <c r="O142" s="32"/>
      <c r="P142" s="32"/>
      <c r="Q142" s="32"/>
    </row>
    <row r="143" spans="2:17" hidden="1" outlineLevel="1" x14ac:dyDescent="0.25">
      <c r="B143" s="10" t="s">
        <v>31</v>
      </c>
      <c r="C143" s="32">
        <v>0.35</v>
      </c>
      <c r="D143" s="32">
        <v>0.33</v>
      </c>
      <c r="E143" s="32">
        <v>0.08</v>
      </c>
      <c r="F143" s="32">
        <v>0.08</v>
      </c>
      <c r="G143" s="32">
        <v>0</v>
      </c>
      <c r="H143" s="32">
        <v>0.04</v>
      </c>
      <c r="I143" s="32">
        <v>0.03</v>
      </c>
      <c r="J143" s="32">
        <v>0.09</v>
      </c>
      <c r="K143" s="32"/>
      <c r="L143" s="32"/>
      <c r="M143" s="32"/>
      <c r="N143" s="32"/>
      <c r="O143" s="32"/>
      <c r="P143" s="32"/>
      <c r="Q143" s="32"/>
    </row>
    <row r="144" spans="2:17" hidden="1" outlineLevel="1" x14ac:dyDescent="0.25">
      <c r="B144" s="10" t="s">
        <v>32</v>
      </c>
      <c r="C144" s="32">
        <v>0.35</v>
      </c>
      <c r="D144" s="32">
        <v>0.33</v>
      </c>
      <c r="E144" s="32">
        <v>0.08</v>
      </c>
      <c r="F144" s="32">
        <v>0.08</v>
      </c>
      <c r="G144" s="32">
        <v>0</v>
      </c>
      <c r="H144" s="32">
        <v>0.04</v>
      </c>
      <c r="I144" s="32">
        <v>0.03</v>
      </c>
      <c r="J144" s="32">
        <v>0.09</v>
      </c>
      <c r="K144" s="32"/>
      <c r="L144" s="32"/>
      <c r="M144" s="32"/>
      <c r="N144" s="32"/>
      <c r="O144" s="32"/>
      <c r="P144" s="32"/>
      <c r="Q144" s="32"/>
    </row>
    <row r="145" spans="2:17" hidden="1" outlineLevel="1" x14ac:dyDescent="0.25">
      <c r="B145" s="10" t="s">
        <v>33</v>
      </c>
      <c r="C145" s="32">
        <v>0.35</v>
      </c>
      <c r="D145" s="32">
        <v>0.33</v>
      </c>
      <c r="E145" s="32">
        <v>0.08</v>
      </c>
      <c r="F145" s="32">
        <v>0.08</v>
      </c>
      <c r="G145" s="32">
        <v>0</v>
      </c>
      <c r="H145" s="32">
        <v>0.04</v>
      </c>
      <c r="I145" s="32">
        <v>0.03</v>
      </c>
      <c r="J145" s="32">
        <v>0.09</v>
      </c>
      <c r="K145" s="32"/>
      <c r="L145" s="32"/>
      <c r="M145" s="32"/>
      <c r="N145" s="32"/>
      <c r="O145" s="32"/>
      <c r="P145" s="32"/>
      <c r="Q145" s="32"/>
    </row>
    <row r="146" spans="2:17" hidden="1" outlineLevel="1" x14ac:dyDescent="0.25">
      <c r="B146" s="10" t="s">
        <v>34</v>
      </c>
      <c r="C146" s="32">
        <v>0.35</v>
      </c>
      <c r="D146" s="32">
        <v>0.33</v>
      </c>
      <c r="E146" s="32">
        <v>0.08</v>
      </c>
      <c r="F146" s="32">
        <v>0.08</v>
      </c>
      <c r="G146" s="32">
        <v>0</v>
      </c>
      <c r="H146" s="32">
        <v>0.04</v>
      </c>
      <c r="I146" s="32">
        <v>0.03</v>
      </c>
      <c r="J146" s="32">
        <v>0.09</v>
      </c>
      <c r="K146" s="32"/>
      <c r="L146" s="32"/>
      <c r="M146" s="32"/>
      <c r="N146" s="32"/>
      <c r="O146" s="32"/>
      <c r="P146" s="32"/>
      <c r="Q146" s="32"/>
    </row>
    <row r="147" spans="2:17" hidden="1" outlineLevel="1" x14ac:dyDescent="0.25">
      <c r="B147" s="10" t="s">
        <v>35</v>
      </c>
      <c r="C147" s="32">
        <v>0.5</v>
      </c>
      <c r="D147" s="32">
        <v>0.3</v>
      </c>
      <c r="E147" s="32">
        <v>0.1</v>
      </c>
      <c r="F147" s="32">
        <v>9.9999999999999978E-2</v>
      </c>
      <c r="G147" s="32"/>
      <c r="H147" s="32"/>
      <c r="I147" s="32"/>
      <c r="J147" s="32"/>
      <c r="K147" s="32"/>
      <c r="L147" s="32"/>
      <c r="M147" s="32"/>
      <c r="N147" s="32"/>
      <c r="O147" s="32"/>
      <c r="P147" s="32"/>
      <c r="Q147" s="32"/>
    </row>
    <row r="148" spans="2:17" hidden="1" outlineLevel="1" x14ac:dyDescent="0.25">
      <c r="B148" s="10" t="s">
        <v>36</v>
      </c>
      <c r="C148" s="32">
        <v>0.35</v>
      </c>
      <c r="D148" s="32">
        <v>0.33</v>
      </c>
      <c r="E148" s="32">
        <v>0.08</v>
      </c>
      <c r="F148" s="32">
        <v>0.08</v>
      </c>
      <c r="G148" s="32">
        <v>0</v>
      </c>
      <c r="H148" s="32">
        <v>0.04</v>
      </c>
      <c r="I148" s="32">
        <v>0.03</v>
      </c>
      <c r="J148" s="32">
        <v>0.09</v>
      </c>
      <c r="K148" s="32"/>
      <c r="L148" s="32"/>
      <c r="M148" s="32"/>
      <c r="N148" s="32"/>
      <c r="O148" s="32"/>
      <c r="P148" s="32"/>
      <c r="Q148" s="32"/>
    </row>
    <row r="149" spans="2:17" hidden="1" outlineLevel="1" x14ac:dyDescent="0.25">
      <c r="B149" s="10" t="s">
        <v>37</v>
      </c>
      <c r="C149" s="32">
        <v>0.6</v>
      </c>
      <c r="D149" s="32">
        <v>0.25</v>
      </c>
      <c r="E149" s="32">
        <v>0.1</v>
      </c>
      <c r="F149" s="32">
        <v>0.05</v>
      </c>
      <c r="G149" s="32"/>
      <c r="H149" s="32"/>
      <c r="I149" s="32"/>
      <c r="J149" s="32"/>
      <c r="K149" s="32"/>
      <c r="L149" s="32"/>
      <c r="M149" s="32"/>
      <c r="N149" s="32"/>
      <c r="O149" s="32"/>
      <c r="P149" s="32"/>
      <c r="Q149" s="32"/>
    </row>
    <row r="150" spans="2:17" hidden="1" outlineLevel="1" x14ac:dyDescent="0.25">
      <c r="B150" s="10" t="s">
        <v>39</v>
      </c>
      <c r="C150" s="32">
        <v>0.24</v>
      </c>
      <c r="D150" s="32">
        <v>0.4</v>
      </c>
      <c r="E150" s="32">
        <v>0.21</v>
      </c>
      <c r="F150" s="32">
        <v>0.12</v>
      </c>
      <c r="G150" s="32">
        <f>1-SUM(C150:F150)</f>
        <v>3.0000000000000027E-2</v>
      </c>
      <c r="H150" s="32"/>
      <c r="I150" s="32"/>
      <c r="J150" s="32"/>
      <c r="K150" s="32"/>
      <c r="L150" s="32"/>
      <c r="M150" s="32"/>
      <c r="N150" s="32"/>
      <c r="O150" s="32"/>
      <c r="P150" s="32"/>
      <c r="Q150" s="32"/>
    </row>
    <row r="151" spans="2:17" hidden="1" outlineLevel="1" x14ac:dyDescent="0.25">
      <c r="B151" s="10" t="s">
        <v>40</v>
      </c>
      <c r="C151" s="32">
        <v>0.24</v>
      </c>
      <c r="D151" s="32">
        <v>0.4</v>
      </c>
      <c r="E151" s="32">
        <v>0.21</v>
      </c>
      <c r="F151" s="32">
        <v>0.12</v>
      </c>
      <c r="G151" s="32">
        <f>1-SUM(C151:F151)</f>
        <v>3.0000000000000027E-2</v>
      </c>
      <c r="H151" s="32"/>
      <c r="I151" s="32"/>
      <c r="J151" s="32"/>
      <c r="K151" s="32"/>
      <c r="L151" s="32"/>
      <c r="M151" s="32"/>
      <c r="N151" s="32"/>
      <c r="O151" s="32"/>
      <c r="P151" s="32"/>
      <c r="Q151" s="32"/>
    </row>
    <row r="152" spans="2:17" hidden="1" outlineLevel="1" x14ac:dyDescent="0.25">
      <c r="B152" s="10" t="s">
        <v>41</v>
      </c>
      <c r="C152" s="32">
        <v>0.5</v>
      </c>
      <c r="D152" s="32">
        <v>0.3</v>
      </c>
      <c r="E152" s="32">
        <v>0.1</v>
      </c>
      <c r="F152" s="32">
        <v>9.9999999999999978E-2</v>
      </c>
      <c r="G152" s="32"/>
      <c r="H152" s="32"/>
      <c r="I152" s="32"/>
      <c r="J152" s="32"/>
      <c r="K152" s="32"/>
      <c r="L152" s="32"/>
      <c r="M152" s="32"/>
      <c r="N152" s="32"/>
      <c r="O152" s="32"/>
      <c r="P152" s="32"/>
      <c r="Q152" s="32"/>
    </row>
    <row r="153" spans="2:17" hidden="1" outlineLevel="1" x14ac:dyDescent="0.25">
      <c r="B153" s="10" t="s">
        <v>42</v>
      </c>
      <c r="C153" s="32">
        <v>0.35</v>
      </c>
      <c r="D153" s="32">
        <v>0.33</v>
      </c>
      <c r="E153" s="32">
        <v>0.08</v>
      </c>
      <c r="F153" s="32">
        <v>0.08</v>
      </c>
      <c r="G153" s="32">
        <v>0</v>
      </c>
      <c r="H153" s="32">
        <v>0.04</v>
      </c>
      <c r="I153" s="32">
        <v>0.03</v>
      </c>
      <c r="J153" s="32">
        <v>0.09</v>
      </c>
      <c r="K153" s="32"/>
      <c r="L153" s="32"/>
      <c r="M153" s="32"/>
      <c r="N153" s="32"/>
      <c r="O153" s="32"/>
      <c r="P153" s="32"/>
      <c r="Q153" s="32"/>
    </row>
    <row r="154" spans="2:17" hidden="1" outlineLevel="1" x14ac:dyDescent="0.25">
      <c r="B154" s="10" t="s">
        <v>43</v>
      </c>
      <c r="C154" s="32">
        <v>0.35</v>
      </c>
      <c r="D154" s="32">
        <v>0.33</v>
      </c>
      <c r="E154" s="32">
        <v>0.08</v>
      </c>
      <c r="F154" s="32">
        <v>0.08</v>
      </c>
      <c r="G154" s="32">
        <v>0</v>
      </c>
      <c r="H154" s="32">
        <v>0.04</v>
      </c>
      <c r="I154" s="32">
        <v>0.03</v>
      </c>
      <c r="J154" s="32">
        <v>0.09</v>
      </c>
      <c r="K154" s="32"/>
      <c r="L154" s="32"/>
      <c r="M154" s="32"/>
      <c r="N154" s="32"/>
      <c r="O154" s="32"/>
      <c r="P154" s="32"/>
      <c r="Q154" s="32"/>
    </row>
    <row r="155" spans="2:17" hidden="1" outlineLevel="1" x14ac:dyDescent="0.25">
      <c r="B155" s="10" t="s">
        <v>48</v>
      </c>
      <c r="C155" s="32">
        <v>0.35</v>
      </c>
      <c r="D155" s="32">
        <v>0.33</v>
      </c>
      <c r="E155" s="32">
        <v>0.08</v>
      </c>
      <c r="F155" s="32">
        <v>0.08</v>
      </c>
      <c r="G155" s="32">
        <v>0</v>
      </c>
      <c r="H155" s="32">
        <v>0.04</v>
      </c>
      <c r="I155" s="32">
        <v>0.03</v>
      </c>
      <c r="J155" s="32">
        <v>0.09</v>
      </c>
      <c r="K155" s="32"/>
      <c r="L155" s="32"/>
      <c r="M155" s="32"/>
      <c r="N155" s="32"/>
      <c r="O155" s="32"/>
      <c r="P155" s="32"/>
      <c r="Q155" s="32"/>
    </row>
    <row r="156" spans="2:17" hidden="1" outlineLevel="1" x14ac:dyDescent="0.25">
      <c r="B156" s="10" t="s">
        <v>44</v>
      </c>
      <c r="C156" s="32">
        <v>0.24</v>
      </c>
      <c r="D156" s="32">
        <v>0.4</v>
      </c>
      <c r="E156" s="32">
        <v>0.21</v>
      </c>
      <c r="F156" s="32">
        <v>0.12</v>
      </c>
      <c r="G156" s="32">
        <f>1-SUM(C156:F156)</f>
        <v>3.0000000000000027E-2</v>
      </c>
      <c r="H156" s="32"/>
      <c r="I156" s="32"/>
      <c r="J156" s="32"/>
      <c r="K156" s="32"/>
      <c r="L156" s="32"/>
      <c r="M156" s="32"/>
      <c r="N156" s="32"/>
      <c r="O156" s="32"/>
      <c r="P156" s="32"/>
      <c r="Q156" s="32"/>
    </row>
    <row r="157" spans="2:17" hidden="1" outlineLevel="1" x14ac:dyDescent="0.25">
      <c r="B157" s="10" t="s">
        <v>45</v>
      </c>
      <c r="C157" s="32">
        <v>0.24</v>
      </c>
      <c r="D157" s="32">
        <v>0.4</v>
      </c>
      <c r="E157" s="32">
        <v>0.21</v>
      </c>
      <c r="F157" s="32">
        <v>0.12</v>
      </c>
      <c r="G157" s="32">
        <f>1-SUM(C157:F157)</f>
        <v>3.0000000000000027E-2</v>
      </c>
      <c r="H157" s="32"/>
      <c r="I157" s="32"/>
      <c r="J157" s="32"/>
      <c r="K157" s="32"/>
      <c r="L157" s="32"/>
      <c r="M157" s="32"/>
      <c r="N157" s="32"/>
      <c r="O157" s="32"/>
      <c r="P157" s="32"/>
      <c r="Q157" s="32"/>
    </row>
    <row r="158" spans="2:17" hidden="1" outlineLevel="1" x14ac:dyDescent="0.25">
      <c r="B158" s="10" t="s">
        <v>46</v>
      </c>
      <c r="C158" s="32">
        <v>0.03</v>
      </c>
      <c r="D158" s="32">
        <v>0.15</v>
      </c>
      <c r="E158" s="32">
        <v>0.16</v>
      </c>
      <c r="F158" s="32">
        <v>0.14000000000000001</v>
      </c>
      <c r="G158" s="32">
        <v>0.09</v>
      </c>
      <c r="H158" s="32">
        <v>0.08</v>
      </c>
      <c r="I158" s="32">
        <v>0.06</v>
      </c>
      <c r="J158" s="32">
        <v>0.06</v>
      </c>
      <c r="K158" s="32">
        <v>0.05</v>
      </c>
      <c r="L158" s="32">
        <v>0.04</v>
      </c>
      <c r="M158" s="32">
        <v>0.03</v>
      </c>
      <c r="N158" s="32">
        <v>0.03</v>
      </c>
      <c r="O158" s="32">
        <v>0.08</v>
      </c>
      <c r="P158" s="32"/>
      <c r="Q158" s="32"/>
    </row>
    <row r="159" spans="2:17" collapsed="1" x14ac:dyDescent="0.25"/>
    <row r="160" spans="2:17" x14ac:dyDescent="0.25">
      <c r="B160" s="33" t="s">
        <v>118</v>
      </c>
    </row>
    <row r="161" spans="2:17" hidden="1" outlineLevel="1" x14ac:dyDescent="0.25">
      <c r="B161" s="2" t="s">
        <v>16</v>
      </c>
      <c r="C161" s="2" t="s">
        <v>82</v>
      </c>
      <c r="D161" s="2" t="s">
        <v>83</v>
      </c>
      <c r="E161" s="2" t="s">
        <v>84</v>
      </c>
      <c r="F161" s="2" t="s">
        <v>85</v>
      </c>
      <c r="G161" s="2" t="s">
        <v>86</v>
      </c>
      <c r="H161" s="2" t="s">
        <v>87</v>
      </c>
      <c r="I161" s="2" t="s">
        <v>88</v>
      </c>
      <c r="J161" s="2" t="s">
        <v>89</v>
      </c>
      <c r="K161" s="2" t="s">
        <v>90</v>
      </c>
      <c r="L161" s="2" t="s">
        <v>91</v>
      </c>
      <c r="M161" s="2" t="s">
        <v>92</v>
      </c>
      <c r="N161" s="2" t="s">
        <v>93</v>
      </c>
      <c r="O161" s="2" t="s">
        <v>94</v>
      </c>
      <c r="P161" s="2" t="s">
        <v>95</v>
      </c>
      <c r="Q161" s="2" t="s">
        <v>96</v>
      </c>
    </row>
    <row r="162" spans="2:17" hidden="1" outlineLevel="1" x14ac:dyDescent="0.25">
      <c r="B162" s="10" t="s">
        <v>97</v>
      </c>
      <c r="C162" s="32">
        <v>0.35</v>
      </c>
      <c r="D162" s="32">
        <v>0.4</v>
      </c>
      <c r="E162" s="32">
        <v>0.2</v>
      </c>
      <c r="F162" s="32">
        <v>0.05</v>
      </c>
      <c r="G162" s="32"/>
      <c r="H162" s="32"/>
      <c r="I162" s="32"/>
      <c r="J162" s="32"/>
      <c r="K162" s="32"/>
      <c r="L162" s="32"/>
      <c r="M162" s="32"/>
      <c r="N162" s="32"/>
      <c r="O162" s="32"/>
      <c r="P162" s="32"/>
      <c r="Q162" s="32"/>
    </row>
    <row r="163" spans="2:17" hidden="1" outlineLevel="1" x14ac:dyDescent="0.25">
      <c r="B163" s="10" t="s">
        <v>98</v>
      </c>
      <c r="C163" s="32">
        <v>0.35</v>
      </c>
      <c r="D163" s="32">
        <v>0.4</v>
      </c>
      <c r="E163" s="32">
        <v>0.2</v>
      </c>
      <c r="F163" s="32">
        <v>0.05</v>
      </c>
      <c r="G163" s="32"/>
      <c r="H163" s="32"/>
      <c r="I163" s="32"/>
      <c r="J163" s="32"/>
      <c r="K163" s="32"/>
      <c r="L163" s="32"/>
      <c r="M163" s="32"/>
      <c r="N163" s="32"/>
      <c r="O163" s="32"/>
      <c r="P163" s="32"/>
      <c r="Q163" s="32"/>
    </row>
    <row r="164" spans="2:17" hidden="1" outlineLevel="1" x14ac:dyDescent="0.25">
      <c r="B164" s="10" t="s">
        <v>99</v>
      </c>
      <c r="C164" s="32">
        <v>0.35</v>
      </c>
      <c r="D164" s="32">
        <v>0.4</v>
      </c>
      <c r="E164" s="32">
        <v>0.2</v>
      </c>
      <c r="F164" s="32">
        <v>0.05</v>
      </c>
      <c r="G164" s="32"/>
      <c r="H164" s="32"/>
      <c r="I164" s="32"/>
      <c r="J164" s="32"/>
      <c r="K164" s="32"/>
      <c r="L164" s="32"/>
      <c r="M164" s="32"/>
      <c r="N164" s="32"/>
      <c r="O164" s="32"/>
      <c r="P164" s="32"/>
      <c r="Q164" s="32"/>
    </row>
    <row r="165" spans="2:17" hidden="1" outlineLevel="1" x14ac:dyDescent="0.25">
      <c r="B165" s="10" t="s">
        <v>100</v>
      </c>
      <c r="C165" s="32">
        <v>0.35</v>
      </c>
      <c r="D165" s="32">
        <v>0.4</v>
      </c>
      <c r="E165" s="32">
        <v>0.2</v>
      </c>
      <c r="F165" s="32">
        <v>0.05</v>
      </c>
      <c r="G165" s="32"/>
      <c r="H165" s="32"/>
      <c r="I165" s="32"/>
      <c r="J165" s="32"/>
      <c r="K165" s="32"/>
      <c r="L165" s="32"/>
      <c r="M165" s="32"/>
      <c r="N165" s="32"/>
      <c r="O165" s="32"/>
      <c r="P165" s="32"/>
      <c r="Q165" s="32"/>
    </row>
    <row r="166" spans="2:17" hidden="1" outlineLevel="1" x14ac:dyDescent="0.25">
      <c r="B166" s="10" t="s">
        <v>101</v>
      </c>
      <c r="C166" s="32">
        <v>0.35</v>
      </c>
      <c r="D166" s="32">
        <v>0.4</v>
      </c>
      <c r="E166" s="32">
        <v>0.2</v>
      </c>
      <c r="F166" s="32">
        <v>0.05</v>
      </c>
      <c r="G166" s="32"/>
      <c r="H166" s="32"/>
      <c r="I166" s="32"/>
      <c r="J166" s="32"/>
      <c r="K166" s="32"/>
      <c r="L166" s="32"/>
      <c r="M166" s="32"/>
      <c r="N166" s="32"/>
      <c r="O166" s="32"/>
      <c r="P166" s="32"/>
      <c r="Q166" s="32"/>
    </row>
    <row r="167" spans="2:17" hidden="1" outlineLevel="1" x14ac:dyDescent="0.25">
      <c r="B167" s="10" t="s">
        <v>102</v>
      </c>
      <c r="C167" s="32">
        <v>0.35</v>
      </c>
      <c r="D167" s="32">
        <v>0.4</v>
      </c>
      <c r="E167" s="32">
        <v>0.2</v>
      </c>
      <c r="F167" s="32">
        <v>0.05</v>
      </c>
      <c r="G167" s="32"/>
      <c r="H167" s="32"/>
      <c r="I167" s="32"/>
      <c r="J167" s="32"/>
      <c r="K167" s="32"/>
      <c r="L167" s="32"/>
      <c r="M167" s="32"/>
      <c r="N167" s="32"/>
      <c r="O167" s="32"/>
      <c r="P167" s="32"/>
      <c r="Q167" s="32"/>
    </row>
    <row r="168" spans="2:17" hidden="1" outlineLevel="1" x14ac:dyDescent="0.25">
      <c r="B168" s="10" t="s">
        <v>103</v>
      </c>
      <c r="C168" s="32">
        <v>0.35</v>
      </c>
      <c r="D168" s="32">
        <v>0.4</v>
      </c>
      <c r="E168" s="32">
        <v>0.2</v>
      </c>
      <c r="F168" s="32">
        <v>0.05</v>
      </c>
      <c r="G168" s="32"/>
      <c r="H168" s="32"/>
      <c r="I168" s="32"/>
      <c r="J168" s="32"/>
      <c r="K168" s="32"/>
      <c r="L168" s="32"/>
      <c r="M168" s="32"/>
      <c r="N168" s="32"/>
      <c r="O168" s="32"/>
      <c r="P168" s="32"/>
      <c r="Q168" s="32"/>
    </row>
    <row r="169" spans="2:17" hidden="1" outlineLevel="1" x14ac:dyDescent="0.25">
      <c r="B169" s="10" t="s">
        <v>104</v>
      </c>
      <c r="C169" s="32">
        <v>0.35</v>
      </c>
      <c r="D169" s="32">
        <v>0.4</v>
      </c>
      <c r="E169" s="32">
        <v>0.2</v>
      </c>
      <c r="F169" s="32">
        <v>0.05</v>
      </c>
      <c r="G169" s="32"/>
      <c r="H169" s="32"/>
      <c r="I169" s="32"/>
      <c r="J169" s="32"/>
      <c r="K169" s="32"/>
      <c r="L169" s="32"/>
      <c r="M169" s="32"/>
      <c r="N169" s="32"/>
      <c r="O169" s="32"/>
      <c r="P169" s="32"/>
      <c r="Q169" s="32"/>
    </row>
    <row r="170" spans="2:17" hidden="1" outlineLevel="1" x14ac:dyDescent="0.25">
      <c r="B170" s="10" t="s">
        <v>105</v>
      </c>
      <c r="C170" s="32">
        <v>0.35</v>
      </c>
      <c r="D170" s="32">
        <v>0.4</v>
      </c>
      <c r="E170" s="32">
        <v>0.2</v>
      </c>
      <c r="F170" s="32">
        <v>0.05</v>
      </c>
      <c r="G170" s="32"/>
      <c r="H170" s="32"/>
      <c r="I170" s="32"/>
      <c r="J170" s="32"/>
      <c r="K170" s="32"/>
      <c r="L170" s="32"/>
      <c r="M170" s="32"/>
      <c r="N170" s="32"/>
      <c r="O170" s="32"/>
      <c r="P170" s="32"/>
      <c r="Q170" s="32"/>
    </row>
    <row r="171" spans="2:17" hidden="1" outlineLevel="1" x14ac:dyDescent="0.25">
      <c r="B171" s="10" t="s">
        <v>106</v>
      </c>
      <c r="C171" s="32">
        <v>0.35</v>
      </c>
      <c r="D171" s="32">
        <v>0.4</v>
      </c>
      <c r="E171" s="32">
        <v>0.2</v>
      </c>
      <c r="F171" s="32">
        <v>0.05</v>
      </c>
      <c r="G171" s="32"/>
      <c r="H171" s="32"/>
      <c r="I171" s="32"/>
      <c r="J171" s="32"/>
      <c r="K171" s="32"/>
      <c r="L171" s="32"/>
      <c r="M171" s="32"/>
      <c r="N171" s="32"/>
      <c r="O171" s="32"/>
      <c r="P171" s="32"/>
      <c r="Q171" s="32"/>
    </row>
    <row r="172" spans="2:17" hidden="1" outlineLevel="1" x14ac:dyDescent="0.25">
      <c r="B172" s="10" t="s">
        <v>107</v>
      </c>
      <c r="C172" s="32">
        <v>0.24</v>
      </c>
      <c r="D172" s="32">
        <v>0.4</v>
      </c>
      <c r="E172" s="32">
        <v>0.21</v>
      </c>
      <c r="F172" s="32">
        <v>0.12</v>
      </c>
      <c r="G172" s="32">
        <f>1-SUM(C172:F172)</f>
        <v>3.0000000000000027E-2</v>
      </c>
      <c r="H172" s="32"/>
      <c r="I172" s="32"/>
      <c r="J172" s="32"/>
      <c r="K172" s="32"/>
      <c r="L172" s="32"/>
      <c r="M172" s="32"/>
      <c r="N172" s="32"/>
      <c r="O172" s="32"/>
      <c r="P172" s="32"/>
      <c r="Q172" s="32"/>
    </row>
    <row r="173" spans="2:17" hidden="1" outlineLevel="1" x14ac:dyDescent="0.25">
      <c r="B173" s="10" t="s">
        <v>108</v>
      </c>
      <c r="C173" s="32">
        <v>0.24</v>
      </c>
      <c r="D173" s="32">
        <v>0.4</v>
      </c>
      <c r="E173" s="32">
        <v>0.21</v>
      </c>
      <c r="F173" s="32">
        <v>0.12</v>
      </c>
      <c r="G173" s="32">
        <f>1-SUM(C173:F173)</f>
        <v>3.0000000000000027E-2</v>
      </c>
      <c r="H173" s="32"/>
      <c r="I173" s="32"/>
      <c r="J173" s="32"/>
      <c r="K173" s="32"/>
      <c r="L173" s="32"/>
      <c r="M173" s="32"/>
      <c r="N173" s="32"/>
      <c r="O173" s="32"/>
      <c r="P173" s="32"/>
      <c r="Q173" s="32"/>
    </row>
    <row r="174" spans="2:17" hidden="1" outlineLevel="1" x14ac:dyDescent="0.25">
      <c r="B174" s="10" t="s">
        <v>47</v>
      </c>
      <c r="C174" s="32">
        <v>0.24</v>
      </c>
      <c r="D174" s="32">
        <v>0.4</v>
      </c>
      <c r="E174" s="32">
        <v>0.21</v>
      </c>
      <c r="F174" s="32">
        <v>0.12</v>
      </c>
      <c r="G174" s="32">
        <f>1-SUM(C174:F174)</f>
        <v>3.0000000000000027E-2</v>
      </c>
      <c r="H174" s="32"/>
      <c r="I174" s="32"/>
      <c r="J174" s="32"/>
      <c r="K174" s="32"/>
      <c r="L174" s="32"/>
      <c r="M174" s="32"/>
      <c r="N174" s="32"/>
      <c r="O174" s="32"/>
      <c r="P174" s="32"/>
      <c r="Q174" s="32"/>
    </row>
    <row r="175" spans="2:17" hidden="1" outlineLevel="1" x14ac:dyDescent="0.25">
      <c r="B175" s="10" t="s">
        <v>109</v>
      </c>
      <c r="C175" s="32">
        <v>0.03</v>
      </c>
      <c r="D175" s="32">
        <v>0.15</v>
      </c>
      <c r="E175" s="32">
        <v>0.16</v>
      </c>
      <c r="F175" s="32">
        <v>0.14000000000000001</v>
      </c>
      <c r="G175" s="32">
        <v>0.09</v>
      </c>
      <c r="H175" s="32">
        <v>0.08</v>
      </c>
      <c r="I175" s="32">
        <v>0.06</v>
      </c>
      <c r="J175" s="32">
        <v>0.06</v>
      </c>
      <c r="K175" s="32">
        <v>0.05</v>
      </c>
      <c r="L175" s="32">
        <v>0.04</v>
      </c>
      <c r="M175" s="32">
        <v>0.03</v>
      </c>
      <c r="N175" s="32">
        <v>0.03</v>
      </c>
      <c r="O175" s="32">
        <v>0.08</v>
      </c>
      <c r="P175" s="32"/>
      <c r="Q175" s="32"/>
    </row>
    <row r="176" spans="2:17" hidden="1" outlineLevel="1" x14ac:dyDescent="0.25">
      <c r="B176" s="10" t="s">
        <v>110</v>
      </c>
      <c r="C176" s="32">
        <v>0.03</v>
      </c>
      <c r="D176" s="32">
        <v>0.15</v>
      </c>
      <c r="E176" s="32">
        <v>0.16</v>
      </c>
      <c r="F176" s="32">
        <v>0.14000000000000001</v>
      </c>
      <c r="G176" s="32">
        <v>0.09</v>
      </c>
      <c r="H176" s="32">
        <v>0.08</v>
      </c>
      <c r="I176" s="32">
        <v>0.06</v>
      </c>
      <c r="J176" s="32">
        <v>0.06</v>
      </c>
      <c r="K176" s="32">
        <v>0.05</v>
      </c>
      <c r="L176" s="32">
        <v>0.04</v>
      </c>
      <c r="M176" s="32">
        <v>0.03</v>
      </c>
      <c r="N176" s="32">
        <v>0.03</v>
      </c>
      <c r="O176" s="32">
        <v>0.08</v>
      </c>
      <c r="P176" s="32"/>
      <c r="Q176" s="32"/>
    </row>
    <row r="177" spans="2:17" hidden="1" outlineLevel="1" x14ac:dyDescent="0.25">
      <c r="B177" s="10" t="s">
        <v>111</v>
      </c>
      <c r="C177" s="32">
        <v>0.03</v>
      </c>
      <c r="D177" s="32">
        <v>0.15</v>
      </c>
      <c r="E177" s="32">
        <v>0.16</v>
      </c>
      <c r="F177" s="32">
        <v>0.14000000000000001</v>
      </c>
      <c r="G177" s="32">
        <v>0.09</v>
      </c>
      <c r="H177" s="32">
        <v>0.08</v>
      </c>
      <c r="I177" s="32">
        <v>0.06</v>
      </c>
      <c r="J177" s="32">
        <v>0.06</v>
      </c>
      <c r="K177" s="32">
        <v>0.05</v>
      </c>
      <c r="L177" s="32">
        <v>0.04</v>
      </c>
      <c r="M177" s="32">
        <v>0.03</v>
      </c>
      <c r="N177" s="32">
        <v>0.03</v>
      </c>
      <c r="O177" s="32">
        <v>0.08</v>
      </c>
      <c r="P177" s="32"/>
      <c r="Q177" s="32"/>
    </row>
    <row r="178" spans="2:17" hidden="1" outlineLevel="1" x14ac:dyDescent="0.25">
      <c r="B178" s="10" t="s">
        <v>38</v>
      </c>
      <c r="C178" s="32">
        <v>0.03</v>
      </c>
      <c r="D178" s="32">
        <v>0.15</v>
      </c>
      <c r="E178" s="32">
        <v>0.16</v>
      </c>
      <c r="F178" s="32">
        <v>0.14000000000000001</v>
      </c>
      <c r="G178" s="32">
        <v>0.09</v>
      </c>
      <c r="H178" s="32">
        <v>0.08</v>
      </c>
      <c r="I178" s="32">
        <v>0.06</v>
      </c>
      <c r="J178" s="32">
        <v>0.06</v>
      </c>
      <c r="K178" s="32">
        <v>0.05</v>
      </c>
      <c r="L178" s="32">
        <v>0.04</v>
      </c>
      <c r="M178" s="32">
        <v>0.03</v>
      </c>
      <c r="N178" s="32">
        <v>0.03</v>
      </c>
      <c r="O178" s="32">
        <v>0.08</v>
      </c>
      <c r="P178" s="32"/>
      <c r="Q178" s="32"/>
    </row>
    <row r="179" spans="2:17" hidden="1" outlineLevel="1" x14ac:dyDescent="0.25">
      <c r="B179" s="10" t="s">
        <v>23</v>
      </c>
      <c r="C179" s="32">
        <v>0.03</v>
      </c>
      <c r="D179" s="32">
        <v>0.15</v>
      </c>
      <c r="E179" s="32">
        <v>0.16</v>
      </c>
      <c r="F179" s="32">
        <v>0.14000000000000001</v>
      </c>
      <c r="G179" s="32">
        <v>0.09</v>
      </c>
      <c r="H179" s="32">
        <v>0.08</v>
      </c>
      <c r="I179" s="32">
        <v>0.06</v>
      </c>
      <c r="J179" s="32">
        <v>0.06</v>
      </c>
      <c r="K179" s="32">
        <v>0.05</v>
      </c>
      <c r="L179" s="32">
        <v>0.04</v>
      </c>
      <c r="M179" s="32">
        <v>0.03</v>
      </c>
      <c r="N179" s="32">
        <v>0.03</v>
      </c>
      <c r="O179" s="32">
        <v>0.08</v>
      </c>
      <c r="P179" s="32"/>
      <c r="Q179" s="32"/>
    </row>
    <row r="180" spans="2:17" hidden="1" outlineLevel="1" x14ac:dyDescent="0.25">
      <c r="B180" s="10" t="s">
        <v>24</v>
      </c>
      <c r="C180" s="32">
        <v>0.03</v>
      </c>
      <c r="D180" s="32">
        <v>0.15</v>
      </c>
      <c r="E180" s="32">
        <v>0.16</v>
      </c>
      <c r="F180" s="32">
        <v>0.14000000000000001</v>
      </c>
      <c r="G180" s="32">
        <v>0.09</v>
      </c>
      <c r="H180" s="32">
        <v>0.08</v>
      </c>
      <c r="I180" s="32">
        <v>0.06</v>
      </c>
      <c r="J180" s="32">
        <v>0.06</v>
      </c>
      <c r="K180" s="32">
        <v>0.05</v>
      </c>
      <c r="L180" s="32">
        <v>0.04</v>
      </c>
      <c r="M180" s="32">
        <v>0.03</v>
      </c>
      <c r="N180" s="32">
        <v>0.03</v>
      </c>
      <c r="O180" s="32">
        <v>0.08</v>
      </c>
      <c r="P180" s="32"/>
      <c r="Q180" s="32"/>
    </row>
    <row r="181" spans="2:17" hidden="1" outlineLevel="1" x14ac:dyDescent="0.25">
      <c r="B181" s="10" t="s">
        <v>25</v>
      </c>
      <c r="C181" s="32">
        <v>0.03</v>
      </c>
      <c r="D181" s="32">
        <v>0.15</v>
      </c>
      <c r="E181" s="32">
        <v>0.16</v>
      </c>
      <c r="F181" s="32">
        <v>0.14000000000000001</v>
      </c>
      <c r="G181" s="32">
        <v>0.09</v>
      </c>
      <c r="H181" s="32">
        <v>0.08</v>
      </c>
      <c r="I181" s="32">
        <v>0.06</v>
      </c>
      <c r="J181" s="32">
        <v>0.06</v>
      </c>
      <c r="K181" s="32">
        <v>0.05</v>
      </c>
      <c r="L181" s="32">
        <v>0.04</v>
      </c>
      <c r="M181" s="32">
        <v>0.03</v>
      </c>
      <c r="N181" s="32">
        <v>0.03</v>
      </c>
      <c r="O181" s="32">
        <v>0.08</v>
      </c>
      <c r="P181" s="32"/>
      <c r="Q181" s="32"/>
    </row>
    <row r="182" spans="2:17" hidden="1" outlineLevel="1" x14ac:dyDescent="0.25">
      <c r="B182" s="10" t="s">
        <v>26</v>
      </c>
      <c r="C182" s="32">
        <v>0.35</v>
      </c>
      <c r="D182" s="32">
        <v>0.33</v>
      </c>
      <c r="E182" s="32">
        <v>0.08</v>
      </c>
      <c r="F182" s="32">
        <v>0.08</v>
      </c>
      <c r="G182" s="32">
        <v>0</v>
      </c>
      <c r="H182" s="32">
        <v>0.04</v>
      </c>
      <c r="I182" s="32">
        <v>0.03</v>
      </c>
      <c r="J182" s="32">
        <v>0.09</v>
      </c>
      <c r="K182" s="32"/>
      <c r="L182" s="32"/>
      <c r="M182" s="32"/>
      <c r="N182" s="32"/>
      <c r="O182" s="32"/>
      <c r="P182" s="32"/>
      <c r="Q182" s="32"/>
    </row>
    <row r="183" spans="2:17" hidden="1" outlineLevel="1" x14ac:dyDescent="0.25">
      <c r="B183" s="10" t="s">
        <v>27</v>
      </c>
      <c r="C183" s="32">
        <v>0.03</v>
      </c>
      <c r="D183" s="32">
        <v>0.15</v>
      </c>
      <c r="E183" s="32">
        <v>0.16</v>
      </c>
      <c r="F183" s="32">
        <v>0.14000000000000001</v>
      </c>
      <c r="G183" s="32">
        <v>0.09</v>
      </c>
      <c r="H183" s="32">
        <v>0.08</v>
      </c>
      <c r="I183" s="32">
        <v>0.06</v>
      </c>
      <c r="J183" s="32">
        <v>0.06</v>
      </c>
      <c r="K183" s="32">
        <v>0.05</v>
      </c>
      <c r="L183" s="32">
        <v>0.04</v>
      </c>
      <c r="M183" s="32">
        <v>0.03</v>
      </c>
      <c r="N183" s="32">
        <v>0.03</v>
      </c>
      <c r="O183" s="32">
        <v>0.08</v>
      </c>
      <c r="P183" s="32"/>
      <c r="Q183" s="32"/>
    </row>
    <row r="184" spans="2:17" hidden="1" outlineLevel="1" x14ac:dyDescent="0.25">
      <c r="B184" s="10" t="s">
        <v>28</v>
      </c>
      <c r="C184" s="32">
        <v>0.03</v>
      </c>
      <c r="D184" s="32">
        <v>0.15</v>
      </c>
      <c r="E184" s="32">
        <v>0.16</v>
      </c>
      <c r="F184" s="32">
        <v>0.14000000000000001</v>
      </c>
      <c r="G184" s="32">
        <v>0.09</v>
      </c>
      <c r="H184" s="32">
        <v>0.08</v>
      </c>
      <c r="I184" s="32">
        <v>0.06</v>
      </c>
      <c r="J184" s="32">
        <v>0.06</v>
      </c>
      <c r="K184" s="32">
        <v>0.05</v>
      </c>
      <c r="L184" s="32">
        <v>0.04</v>
      </c>
      <c r="M184" s="32">
        <v>0.03</v>
      </c>
      <c r="N184" s="32">
        <v>0.03</v>
      </c>
      <c r="O184" s="32">
        <v>0.08</v>
      </c>
      <c r="P184" s="32"/>
      <c r="Q184" s="32"/>
    </row>
    <row r="185" spans="2:17" hidden="1" outlineLevel="1" x14ac:dyDescent="0.25">
      <c r="B185" s="10" t="s">
        <v>29</v>
      </c>
      <c r="C185" s="32">
        <v>0.03</v>
      </c>
      <c r="D185" s="32">
        <v>0.15</v>
      </c>
      <c r="E185" s="32">
        <v>0.16</v>
      </c>
      <c r="F185" s="32">
        <v>0.14000000000000001</v>
      </c>
      <c r="G185" s="32">
        <v>0.09</v>
      </c>
      <c r="H185" s="32">
        <v>0.08</v>
      </c>
      <c r="I185" s="32">
        <v>0.06</v>
      </c>
      <c r="J185" s="32">
        <v>0.06</v>
      </c>
      <c r="K185" s="32">
        <v>0.05</v>
      </c>
      <c r="L185" s="32">
        <v>0.04</v>
      </c>
      <c r="M185" s="32">
        <v>0.03</v>
      </c>
      <c r="N185" s="32">
        <v>0.03</v>
      </c>
      <c r="O185" s="32">
        <v>0.08</v>
      </c>
      <c r="P185" s="32"/>
      <c r="Q185" s="32"/>
    </row>
    <row r="186" spans="2:17" hidden="1" outlineLevel="1" x14ac:dyDescent="0.25">
      <c r="B186" s="10" t="s">
        <v>30</v>
      </c>
      <c r="C186" s="32">
        <v>0.24</v>
      </c>
      <c r="D186" s="32">
        <v>0.4</v>
      </c>
      <c r="E186" s="32">
        <v>0.21</v>
      </c>
      <c r="F186" s="32">
        <v>0.12</v>
      </c>
      <c r="G186" s="32">
        <f>1-SUM(C186:F186)</f>
        <v>3.0000000000000027E-2</v>
      </c>
      <c r="H186" s="32"/>
      <c r="I186" s="32"/>
      <c r="J186" s="32"/>
      <c r="K186" s="32"/>
      <c r="L186" s="32"/>
      <c r="M186" s="32"/>
      <c r="N186" s="32"/>
      <c r="O186" s="32"/>
      <c r="P186" s="32"/>
      <c r="Q186" s="32"/>
    </row>
    <row r="187" spans="2:17" hidden="1" outlineLevel="1" x14ac:dyDescent="0.25">
      <c r="B187" s="10" t="s">
        <v>31</v>
      </c>
      <c r="C187" s="32">
        <v>0.35</v>
      </c>
      <c r="D187" s="32">
        <v>0.33</v>
      </c>
      <c r="E187" s="32">
        <v>0.08</v>
      </c>
      <c r="F187" s="32">
        <v>0.08</v>
      </c>
      <c r="G187" s="32">
        <v>0</v>
      </c>
      <c r="H187" s="32">
        <v>0.04</v>
      </c>
      <c r="I187" s="32">
        <v>0.03</v>
      </c>
      <c r="J187" s="32">
        <v>0.09</v>
      </c>
      <c r="K187" s="32"/>
      <c r="L187" s="32"/>
      <c r="M187" s="32"/>
      <c r="N187" s="32"/>
      <c r="O187" s="32"/>
      <c r="P187" s="32"/>
      <c r="Q187" s="32"/>
    </row>
    <row r="188" spans="2:17" hidden="1" outlineLevel="1" x14ac:dyDescent="0.25">
      <c r="B188" s="10" t="s">
        <v>32</v>
      </c>
      <c r="C188" s="32">
        <v>0.35</v>
      </c>
      <c r="D188" s="32">
        <v>0.33</v>
      </c>
      <c r="E188" s="32">
        <v>0.08</v>
      </c>
      <c r="F188" s="32">
        <v>0.08</v>
      </c>
      <c r="G188" s="32">
        <v>0</v>
      </c>
      <c r="H188" s="32">
        <v>0.04</v>
      </c>
      <c r="I188" s="32">
        <v>0.03</v>
      </c>
      <c r="J188" s="32">
        <v>0.09</v>
      </c>
      <c r="K188" s="32"/>
      <c r="L188" s="32"/>
      <c r="M188" s="32"/>
      <c r="N188" s="32"/>
      <c r="O188" s="32"/>
      <c r="P188" s="32"/>
      <c r="Q188" s="32"/>
    </row>
    <row r="189" spans="2:17" hidden="1" outlineLevel="1" x14ac:dyDescent="0.25">
      <c r="B189" s="10" t="s">
        <v>33</v>
      </c>
      <c r="C189" s="32">
        <v>0.35</v>
      </c>
      <c r="D189" s="32">
        <v>0.33</v>
      </c>
      <c r="E189" s="32">
        <v>0.08</v>
      </c>
      <c r="F189" s="32">
        <v>0.08</v>
      </c>
      <c r="G189" s="32">
        <v>0</v>
      </c>
      <c r="H189" s="32">
        <v>0.04</v>
      </c>
      <c r="I189" s="32">
        <v>0.03</v>
      </c>
      <c r="J189" s="32">
        <v>0.09</v>
      </c>
      <c r="K189" s="32"/>
      <c r="L189" s="32"/>
      <c r="M189" s="32"/>
      <c r="N189" s="32"/>
      <c r="O189" s="32"/>
      <c r="P189" s="32"/>
      <c r="Q189" s="32"/>
    </row>
    <row r="190" spans="2:17" hidden="1" outlineLevel="1" x14ac:dyDescent="0.25">
      <c r="B190" s="10" t="s">
        <v>34</v>
      </c>
      <c r="C190" s="32">
        <v>0.35</v>
      </c>
      <c r="D190" s="32">
        <v>0.33</v>
      </c>
      <c r="E190" s="32">
        <v>0.08</v>
      </c>
      <c r="F190" s="32">
        <v>0.08</v>
      </c>
      <c r="G190" s="32">
        <v>0</v>
      </c>
      <c r="H190" s="32">
        <v>0.04</v>
      </c>
      <c r="I190" s="32">
        <v>0.03</v>
      </c>
      <c r="J190" s="32">
        <v>0.09</v>
      </c>
      <c r="K190" s="32"/>
      <c r="L190" s="32"/>
      <c r="M190" s="32"/>
      <c r="N190" s="32"/>
      <c r="O190" s="32"/>
      <c r="P190" s="32"/>
      <c r="Q190" s="32"/>
    </row>
    <row r="191" spans="2:17" hidden="1" outlineLevel="1" x14ac:dyDescent="0.25">
      <c r="B191" s="10" t="s">
        <v>35</v>
      </c>
      <c r="C191" s="32">
        <v>0.5</v>
      </c>
      <c r="D191" s="32">
        <v>0.3</v>
      </c>
      <c r="E191" s="32">
        <v>0.1</v>
      </c>
      <c r="F191" s="32">
        <v>9.9999999999999978E-2</v>
      </c>
      <c r="G191" s="32"/>
      <c r="H191" s="32"/>
      <c r="I191" s="32"/>
      <c r="J191" s="32"/>
      <c r="K191" s="32"/>
      <c r="L191" s="32"/>
      <c r="M191" s="32"/>
      <c r="N191" s="32"/>
      <c r="O191" s="32"/>
      <c r="P191" s="32"/>
      <c r="Q191" s="32"/>
    </row>
    <row r="192" spans="2:17" hidden="1" outlineLevel="1" x14ac:dyDescent="0.25">
      <c r="B192" s="10" t="s">
        <v>36</v>
      </c>
      <c r="C192" s="32">
        <v>0.35</v>
      </c>
      <c r="D192" s="32">
        <v>0.33</v>
      </c>
      <c r="E192" s="32">
        <v>0.08</v>
      </c>
      <c r="F192" s="32">
        <v>0.08</v>
      </c>
      <c r="G192" s="32">
        <v>0</v>
      </c>
      <c r="H192" s="32">
        <v>0.04</v>
      </c>
      <c r="I192" s="32">
        <v>0.03</v>
      </c>
      <c r="J192" s="32">
        <v>0.09</v>
      </c>
      <c r="K192" s="32"/>
      <c r="L192" s="32"/>
      <c r="M192" s="32"/>
      <c r="N192" s="32"/>
      <c r="O192" s="32"/>
      <c r="P192" s="32"/>
      <c r="Q192" s="32"/>
    </row>
    <row r="193" spans="2:17" hidden="1" outlineLevel="1" x14ac:dyDescent="0.25">
      <c r="B193" s="10" t="s">
        <v>37</v>
      </c>
      <c r="C193" s="32">
        <v>0.6</v>
      </c>
      <c r="D193" s="32">
        <v>0.25</v>
      </c>
      <c r="E193" s="32">
        <v>0.1</v>
      </c>
      <c r="F193" s="32">
        <v>0.05</v>
      </c>
      <c r="G193" s="32"/>
      <c r="H193" s="32"/>
      <c r="I193" s="32"/>
      <c r="J193" s="32"/>
      <c r="K193" s="32"/>
      <c r="L193" s="32"/>
      <c r="M193" s="32"/>
      <c r="N193" s="32"/>
      <c r="O193" s="32"/>
      <c r="P193" s="32"/>
      <c r="Q193" s="32"/>
    </row>
    <row r="194" spans="2:17" hidden="1" outlineLevel="1" x14ac:dyDescent="0.25">
      <c r="B194" s="10" t="s">
        <v>39</v>
      </c>
      <c r="C194" s="32">
        <v>0.24</v>
      </c>
      <c r="D194" s="32">
        <v>0.4</v>
      </c>
      <c r="E194" s="32">
        <v>0.21</v>
      </c>
      <c r="F194" s="32">
        <v>0.12</v>
      </c>
      <c r="G194" s="32">
        <f>1-SUM(C194:F194)</f>
        <v>3.0000000000000027E-2</v>
      </c>
      <c r="H194" s="32"/>
      <c r="I194" s="32"/>
      <c r="J194" s="32"/>
      <c r="K194" s="32"/>
      <c r="L194" s="32"/>
      <c r="M194" s="32"/>
      <c r="N194" s="32"/>
      <c r="O194" s="32"/>
      <c r="P194" s="32"/>
      <c r="Q194" s="32"/>
    </row>
    <row r="195" spans="2:17" hidden="1" outlineLevel="1" x14ac:dyDescent="0.25">
      <c r="B195" s="10" t="s">
        <v>40</v>
      </c>
      <c r="C195" s="32">
        <v>0.24</v>
      </c>
      <c r="D195" s="32">
        <v>0.4</v>
      </c>
      <c r="E195" s="32">
        <v>0.21</v>
      </c>
      <c r="F195" s="32">
        <v>0.12</v>
      </c>
      <c r="G195" s="32">
        <f>1-SUM(C195:F195)</f>
        <v>3.0000000000000027E-2</v>
      </c>
      <c r="H195" s="32"/>
      <c r="I195" s="32"/>
      <c r="J195" s="32"/>
      <c r="K195" s="32"/>
      <c r="L195" s="32"/>
      <c r="M195" s="32"/>
      <c r="N195" s="32"/>
      <c r="O195" s="32"/>
      <c r="P195" s="32"/>
      <c r="Q195" s="32"/>
    </row>
    <row r="196" spans="2:17" hidden="1" outlineLevel="1" x14ac:dyDescent="0.25">
      <c r="B196" s="10" t="s">
        <v>41</v>
      </c>
      <c r="C196" s="32">
        <v>0.5</v>
      </c>
      <c r="D196" s="32">
        <v>0.3</v>
      </c>
      <c r="E196" s="32">
        <v>0.1</v>
      </c>
      <c r="F196" s="32">
        <v>9.9999999999999978E-2</v>
      </c>
      <c r="G196" s="32"/>
      <c r="H196" s="32"/>
      <c r="I196" s="32"/>
      <c r="J196" s="32"/>
      <c r="K196" s="32"/>
      <c r="L196" s="32"/>
      <c r="M196" s="32"/>
      <c r="N196" s="32"/>
      <c r="O196" s="32"/>
      <c r="P196" s="32"/>
      <c r="Q196" s="32"/>
    </row>
    <row r="197" spans="2:17" hidden="1" outlineLevel="1" x14ac:dyDescent="0.25">
      <c r="B197" s="10" t="s">
        <v>42</v>
      </c>
      <c r="C197" s="32">
        <v>0.35</v>
      </c>
      <c r="D197" s="32">
        <v>0.33</v>
      </c>
      <c r="E197" s="32">
        <v>0.08</v>
      </c>
      <c r="F197" s="32">
        <v>0.08</v>
      </c>
      <c r="G197" s="32">
        <v>0</v>
      </c>
      <c r="H197" s="32">
        <v>0.04</v>
      </c>
      <c r="I197" s="32">
        <v>0.03</v>
      </c>
      <c r="J197" s="32">
        <v>0.09</v>
      </c>
      <c r="K197" s="32"/>
      <c r="L197" s="32"/>
      <c r="M197" s="32"/>
      <c r="N197" s="32"/>
      <c r="O197" s="32"/>
      <c r="P197" s="32"/>
      <c r="Q197" s="32"/>
    </row>
    <row r="198" spans="2:17" hidden="1" outlineLevel="1" x14ac:dyDescent="0.25">
      <c r="B198" s="10" t="s">
        <v>43</v>
      </c>
      <c r="C198" s="32">
        <v>0.35</v>
      </c>
      <c r="D198" s="32">
        <v>0.33</v>
      </c>
      <c r="E198" s="32">
        <v>0.08</v>
      </c>
      <c r="F198" s="32">
        <v>0.08</v>
      </c>
      <c r="G198" s="32">
        <v>0</v>
      </c>
      <c r="H198" s="32">
        <v>0.04</v>
      </c>
      <c r="I198" s="32">
        <v>0.03</v>
      </c>
      <c r="J198" s="32">
        <v>0.09</v>
      </c>
      <c r="K198" s="32"/>
      <c r="L198" s="32"/>
      <c r="M198" s="32"/>
      <c r="N198" s="32"/>
      <c r="O198" s="32"/>
      <c r="P198" s="32"/>
      <c r="Q198" s="32"/>
    </row>
    <row r="199" spans="2:17" hidden="1" outlineLevel="1" x14ac:dyDescent="0.25">
      <c r="B199" s="10" t="s">
        <v>48</v>
      </c>
      <c r="C199" s="32">
        <v>0.35</v>
      </c>
      <c r="D199" s="32">
        <v>0.33</v>
      </c>
      <c r="E199" s="32">
        <v>0.08</v>
      </c>
      <c r="F199" s="32">
        <v>0.08</v>
      </c>
      <c r="G199" s="32">
        <v>0</v>
      </c>
      <c r="H199" s="32">
        <v>0.04</v>
      </c>
      <c r="I199" s="32">
        <v>0.03</v>
      </c>
      <c r="J199" s="32">
        <v>0.09</v>
      </c>
      <c r="K199" s="32"/>
      <c r="L199" s="32"/>
      <c r="M199" s="32"/>
      <c r="N199" s="32"/>
      <c r="O199" s="32"/>
      <c r="P199" s="32"/>
      <c r="Q199" s="32"/>
    </row>
    <row r="200" spans="2:17" hidden="1" outlineLevel="1" x14ac:dyDescent="0.25">
      <c r="B200" s="10" t="s">
        <v>44</v>
      </c>
      <c r="C200" s="32">
        <v>0.24</v>
      </c>
      <c r="D200" s="32">
        <v>0.4</v>
      </c>
      <c r="E200" s="32">
        <v>0.21</v>
      </c>
      <c r="F200" s="32">
        <v>0.12</v>
      </c>
      <c r="G200" s="32">
        <f>1-SUM(C200:F200)</f>
        <v>3.0000000000000027E-2</v>
      </c>
      <c r="H200" s="32"/>
      <c r="I200" s="32"/>
      <c r="J200" s="32"/>
      <c r="K200" s="32"/>
      <c r="L200" s="32"/>
      <c r="M200" s="32"/>
      <c r="N200" s="32"/>
      <c r="O200" s="32"/>
      <c r="P200" s="32"/>
      <c r="Q200" s="32"/>
    </row>
    <row r="201" spans="2:17" hidden="1" outlineLevel="1" x14ac:dyDescent="0.25">
      <c r="B201" s="10" t="s">
        <v>45</v>
      </c>
      <c r="C201" s="32">
        <v>0.24</v>
      </c>
      <c r="D201" s="32">
        <v>0.4</v>
      </c>
      <c r="E201" s="32">
        <v>0.21</v>
      </c>
      <c r="F201" s="32">
        <v>0.12</v>
      </c>
      <c r="G201" s="32">
        <f>1-SUM(C201:F201)</f>
        <v>3.0000000000000027E-2</v>
      </c>
      <c r="H201" s="32"/>
      <c r="I201" s="32"/>
      <c r="J201" s="32"/>
      <c r="K201" s="32"/>
      <c r="L201" s="32"/>
      <c r="M201" s="32"/>
      <c r="N201" s="32"/>
      <c r="O201" s="32"/>
      <c r="P201" s="32"/>
      <c r="Q201" s="32"/>
    </row>
    <row r="202" spans="2:17" hidden="1" outlineLevel="1" x14ac:dyDescent="0.25">
      <c r="B202" s="10" t="s">
        <v>46</v>
      </c>
      <c r="C202" s="32">
        <v>0.03</v>
      </c>
      <c r="D202" s="32">
        <v>0.15</v>
      </c>
      <c r="E202" s="32">
        <v>0.16</v>
      </c>
      <c r="F202" s="32">
        <v>0.14000000000000001</v>
      </c>
      <c r="G202" s="32">
        <v>0.09</v>
      </c>
      <c r="H202" s="32">
        <v>0.08</v>
      </c>
      <c r="I202" s="32">
        <v>0.06</v>
      </c>
      <c r="J202" s="32">
        <v>0.06</v>
      </c>
      <c r="K202" s="32">
        <v>0.05</v>
      </c>
      <c r="L202" s="32">
        <v>0.04</v>
      </c>
      <c r="M202" s="32">
        <v>0.03</v>
      </c>
      <c r="N202" s="32">
        <v>0.03</v>
      </c>
      <c r="O202" s="32">
        <v>0.08</v>
      </c>
      <c r="P202" s="32"/>
      <c r="Q202" s="32"/>
    </row>
    <row r="203" spans="2:17" collapsed="1" x14ac:dyDescent="0.25"/>
    <row r="204" spans="2:17" x14ac:dyDescent="0.25">
      <c r="B204" s="33" t="s">
        <v>117</v>
      </c>
    </row>
    <row r="205" spans="2:17" outlineLevel="1" x14ac:dyDescent="0.25">
      <c r="B205" s="2" t="s">
        <v>16</v>
      </c>
      <c r="C205" s="2" t="s">
        <v>82</v>
      </c>
      <c r="D205" s="2" t="s">
        <v>83</v>
      </c>
      <c r="E205" s="2" t="s">
        <v>84</v>
      </c>
      <c r="F205" s="2" t="s">
        <v>85</v>
      </c>
      <c r="G205" s="2" t="s">
        <v>86</v>
      </c>
      <c r="H205" s="2" t="s">
        <v>87</v>
      </c>
      <c r="I205" s="2" t="s">
        <v>88</v>
      </c>
      <c r="J205" s="2" t="s">
        <v>89</v>
      </c>
      <c r="K205" s="2" t="s">
        <v>90</v>
      </c>
      <c r="L205" s="2" t="s">
        <v>91</v>
      </c>
      <c r="M205" s="2" t="s">
        <v>92</v>
      </c>
      <c r="N205" s="2" t="s">
        <v>93</v>
      </c>
      <c r="O205" s="2" t="s">
        <v>94</v>
      </c>
      <c r="P205" s="2" t="s">
        <v>95</v>
      </c>
      <c r="Q205" s="2" t="s">
        <v>96</v>
      </c>
    </row>
    <row r="206" spans="2:17" outlineLevel="1" x14ac:dyDescent="0.25">
      <c r="B206" s="10" t="s">
        <v>97</v>
      </c>
      <c r="C206" s="32">
        <v>0.35</v>
      </c>
      <c r="D206" s="32">
        <v>0.4</v>
      </c>
      <c r="E206" s="32">
        <v>0.2</v>
      </c>
      <c r="F206" s="32">
        <v>0.05</v>
      </c>
      <c r="G206" s="32"/>
      <c r="H206" s="32"/>
      <c r="I206" s="32"/>
      <c r="J206" s="32"/>
      <c r="K206" s="32"/>
      <c r="L206" s="32"/>
      <c r="M206" s="32"/>
      <c r="N206" s="32"/>
      <c r="O206" s="32"/>
      <c r="P206" s="32"/>
      <c r="Q206" s="32"/>
    </row>
    <row r="207" spans="2:17" outlineLevel="1" x14ac:dyDescent="0.25">
      <c r="B207" s="10" t="s">
        <v>98</v>
      </c>
      <c r="C207" s="32">
        <v>0.35</v>
      </c>
      <c r="D207" s="32">
        <v>0.4</v>
      </c>
      <c r="E207" s="32">
        <v>0.2</v>
      </c>
      <c r="F207" s="32">
        <v>0.05</v>
      </c>
      <c r="G207" s="32"/>
      <c r="H207" s="32"/>
      <c r="I207" s="32"/>
      <c r="J207" s="32"/>
      <c r="K207" s="32"/>
      <c r="L207" s="32"/>
      <c r="M207" s="32"/>
      <c r="N207" s="32"/>
      <c r="O207" s="32"/>
      <c r="P207" s="32"/>
      <c r="Q207" s="32"/>
    </row>
    <row r="208" spans="2:17" outlineLevel="1" x14ac:dyDescent="0.25">
      <c r="B208" s="10" t="s">
        <v>99</v>
      </c>
      <c r="C208" s="32">
        <v>0.35</v>
      </c>
      <c r="D208" s="32">
        <v>0.4</v>
      </c>
      <c r="E208" s="32">
        <v>0.2</v>
      </c>
      <c r="F208" s="32">
        <v>0.05</v>
      </c>
      <c r="G208" s="32"/>
      <c r="H208" s="32"/>
      <c r="I208" s="32"/>
      <c r="J208" s="32"/>
      <c r="K208" s="32"/>
      <c r="L208" s="32"/>
      <c r="M208" s="32"/>
      <c r="N208" s="32"/>
      <c r="O208" s="32"/>
      <c r="P208" s="32"/>
      <c r="Q208" s="32"/>
    </row>
    <row r="209" spans="2:17" outlineLevel="1" x14ac:dyDescent="0.25">
      <c r="B209" s="10" t="s">
        <v>100</v>
      </c>
      <c r="C209" s="32">
        <v>0.35</v>
      </c>
      <c r="D209" s="32">
        <v>0.4</v>
      </c>
      <c r="E209" s="32">
        <v>0.2</v>
      </c>
      <c r="F209" s="32">
        <v>0.05</v>
      </c>
      <c r="G209" s="32"/>
      <c r="H209" s="32"/>
      <c r="I209" s="32"/>
      <c r="J209" s="32"/>
      <c r="K209" s="32"/>
      <c r="L209" s="32"/>
      <c r="M209" s="32"/>
      <c r="N209" s="32"/>
      <c r="O209" s="32"/>
      <c r="P209" s="32"/>
      <c r="Q209" s="32"/>
    </row>
    <row r="210" spans="2:17" outlineLevel="1" x14ac:dyDescent="0.25">
      <c r="B210" s="10" t="s">
        <v>101</v>
      </c>
      <c r="C210" s="32">
        <v>0.35</v>
      </c>
      <c r="D210" s="32">
        <v>0.4</v>
      </c>
      <c r="E210" s="32">
        <v>0.2</v>
      </c>
      <c r="F210" s="32">
        <v>0.05</v>
      </c>
      <c r="G210" s="32"/>
      <c r="H210" s="32"/>
      <c r="I210" s="32"/>
      <c r="J210" s="32"/>
      <c r="K210" s="32"/>
      <c r="L210" s="32"/>
      <c r="M210" s="32"/>
      <c r="N210" s="32"/>
      <c r="O210" s="32"/>
      <c r="P210" s="32"/>
      <c r="Q210" s="32"/>
    </row>
    <row r="211" spans="2:17" outlineLevel="1" x14ac:dyDescent="0.25">
      <c r="B211" s="10" t="s">
        <v>102</v>
      </c>
      <c r="C211" s="32">
        <v>0.35</v>
      </c>
      <c r="D211" s="32">
        <v>0.4</v>
      </c>
      <c r="E211" s="32">
        <v>0.2</v>
      </c>
      <c r="F211" s="32">
        <v>0.05</v>
      </c>
      <c r="G211" s="32"/>
      <c r="H211" s="32"/>
      <c r="I211" s="32"/>
      <c r="J211" s="32"/>
      <c r="K211" s="32"/>
      <c r="L211" s="32"/>
      <c r="M211" s="32"/>
      <c r="N211" s="32"/>
      <c r="O211" s="32"/>
      <c r="P211" s="32"/>
      <c r="Q211" s="32"/>
    </row>
    <row r="212" spans="2:17" outlineLevel="1" x14ac:dyDescent="0.25">
      <c r="B212" s="10" t="s">
        <v>103</v>
      </c>
      <c r="C212" s="32">
        <v>0.35</v>
      </c>
      <c r="D212" s="32">
        <v>0.4</v>
      </c>
      <c r="E212" s="32">
        <v>0.2</v>
      </c>
      <c r="F212" s="32">
        <v>0.05</v>
      </c>
      <c r="G212" s="32"/>
      <c r="H212" s="32"/>
      <c r="I212" s="32"/>
      <c r="J212" s="32"/>
      <c r="K212" s="32"/>
      <c r="L212" s="32"/>
      <c r="M212" s="32"/>
      <c r="N212" s="32"/>
      <c r="O212" s="32"/>
      <c r="P212" s="32"/>
      <c r="Q212" s="32"/>
    </row>
    <row r="213" spans="2:17" outlineLevel="1" x14ac:dyDescent="0.25">
      <c r="B213" s="10" t="s">
        <v>104</v>
      </c>
      <c r="C213" s="32">
        <v>0.35</v>
      </c>
      <c r="D213" s="32">
        <v>0.4</v>
      </c>
      <c r="E213" s="32">
        <v>0.2</v>
      </c>
      <c r="F213" s="32">
        <v>0.05</v>
      </c>
      <c r="G213" s="32"/>
      <c r="H213" s="32"/>
      <c r="I213" s="32"/>
      <c r="J213" s="32"/>
      <c r="K213" s="32"/>
      <c r="L213" s="32"/>
      <c r="M213" s="32"/>
      <c r="N213" s="32"/>
      <c r="O213" s="32"/>
      <c r="P213" s="32"/>
      <c r="Q213" s="32"/>
    </row>
    <row r="214" spans="2:17" outlineLevel="1" x14ac:dyDescent="0.25">
      <c r="B214" s="10" t="s">
        <v>105</v>
      </c>
      <c r="C214" s="32">
        <v>0.35</v>
      </c>
      <c r="D214" s="32">
        <v>0.4</v>
      </c>
      <c r="E214" s="32">
        <v>0.2</v>
      </c>
      <c r="F214" s="32">
        <v>0.05</v>
      </c>
      <c r="G214" s="32"/>
      <c r="H214" s="32"/>
      <c r="I214" s="32"/>
      <c r="J214" s="32"/>
      <c r="K214" s="32"/>
      <c r="L214" s="32"/>
      <c r="M214" s="32"/>
      <c r="N214" s="32"/>
      <c r="O214" s="32"/>
      <c r="P214" s="32"/>
      <c r="Q214" s="32"/>
    </row>
    <row r="215" spans="2:17" outlineLevel="1" x14ac:dyDescent="0.25">
      <c r="B215" s="10" t="s">
        <v>106</v>
      </c>
      <c r="C215" s="32">
        <v>0.35</v>
      </c>
      <c r="D215" s="32">
        <v>0.4</v>
      </c>
      <c r="E215" s="32">
        <v>0.2</v>
      </c>
      <c r="F215" s="32">
        <v>0.05</v>
      </c>
      <c r="G215" s="32"/>
      <c r="H215" s="32"/>
      <c r="I215" s="32"/>
      <c r="J215" s="32"/>
      <c r="K215" s="32"/>
      <c r="L215" s="32"/>
      <c r="M215" s="32"/>
      <c r="N215" s="32"/>
      <c r="O215" s="32"/>
      <c r="P215" s="32"/>
      <c r="Q215" s="32"/>
    </row>
    <row r="216" spans="2:17" outlineLevel="1" x14ac:dyDescent="0.25">
      <c r="B216" s="10" t="s">
        <v>107</v>
      </c>
      <c r="C216" s="32">
        <v>0.24</v>
      </c>
      <c r="D216" s="32">
        <v>0.4</v>
      </c>
      <c r="E216" s="32">
        <v>0.21</v>
      </c>
      <c r="F216" s="32">
        <v>0.12</v>
      </c>
      <c r="G216" s="32">
        <f>1-SUM(C216:F216)</f>
        <v>3.0000000000000027E-2</v>
      </c>
      <c r="H216" s="32"/>
      <c r="I216" s="32"/>
      <c r="J216" s="32"/>
      <c r="K216" s="32"/>
      <c r="L216" s="32"/>
      <c r="M216" s="32"/>
      <c r="N216" s="32"/>
      <c r="O216" s="32"/>
      <c r="P216" s="32"/>
      <c r="Q216" s="32"/>
    </row>
    <row r="217" spans="2:17" outlineLevel="1" x14ac:dyDescent="0.25">
      <c r="B217" s="10" t="s">
        <v>108</v>
      </c>
      <c r="C217" s="32">
        <v>0.24</v>
      </c>
      <c r="D217" s="32">
        <v>0.4</v>
      </c>
      <c r="E217" s="32">
        <v>0.21</v>
      </c>
      <c r="F217" s="32">
        <v>0.12</v>
      </c>
      <c r="G217" s="32">
        <f>1-SUM(C217:F217)</f>
        <v>3.0000000000000027E-2</v>
      </c>
      <c r="H217" s="32"/>
      <c r="I217" s="32"/>
      <c r="J217" s="32"/>
      <c r="K217" s="32"/>
      <c r="L217" s="32"/>
      <c r="M217" s="32"/>
      <c r="N217" s="32"/>
      <c r="O217" s="32"/>
      <c r="P217" s="32"/>
      <c r="Q217" s="32"/>
    </row>
    <row r="218" spans="2:17" outlineLevel="1" x14ac:dyDescent="0.25">
      <c r="B218" s="10" t="s">
        <v>47</v>
      </c>
      <c r="C218" s="32">
        <v>0.24</v>
      </c>
      <c r="D218" s="32">
        <v>0.4</v>
      </c>
      <c r="E218" s="32">
        <v>0.21</v>
      </c>
      <c r="F218" s="32">
        <v>0.12</v>
      </c>
      <c r="G218" s="32">
        <f>1-SUM(C218:F218)</f>
        <v>3.0000000000000027E-2</v>
      </c>
      <c r="H218" s="32"/>
      <c r="I218" s="32"/>
      <c r="J218" s="32"/>
      <c r="K218" s="32"/>
      <c r="L218" s="32"/>
      <c r="M218" s="32"/>
      <c r="N218" s="32"/>
      <c r="O218" s="32"/>
      <c r="P218" s="32"/>
      <c r="Q218" s="32"/>
    </row>
    <row r="219" spans="2:17" outlineLevel="1" x14ac:dyDescent="0.25">
      <c r="B219" s="10" t="s">
        <v>109</v>
      </c>
      <c r="C219" s="32">
        <v>0.03</v>
      </c>
      <c r="D219" s="32">
        <v>0.15</v>
      </c>
      <c r="E219" s="32">
        <v>0.16</v>
      </c>
      <c r="F219" s="32">
        <v>0.14000000000000001</v>
      </c>
      <c r="G219" s="32">
        <v>0.09</v>
      </c>
      <c r="H219" s="32">
        <v>0.08</v>
      </c>
      <c r="I219" s="32">
        <v>0.06</v>
      </c>
      <c r="J219" s="32">
        <v>0.06</v>
      </c>
      <c r="K219" s="32">
        <v>0.05</v>
      </c>
      <c r="L219" s="32">
        <v>0.04</v>
      </c>
      <c r="M219" s="32">
        <v>0.03</v>
      </c>
      <c r="N219" s="32">
        <v>0.03</v>
      </c>
      <c r="O219" s="32">
        <v>0.08</v>
      </c>
      <c r="P219" s="32"/>
      <c r="Q219" s="32"/>
    </row>
    <row r="220" spans="2:17" outlineLevel="1" x14ac:dyDescent="0.25">
      <c r="B220" s="10" t="s">
        <v>110</v>
      </c>
      <c r="C220" s="32">
        <v>0.03</v>
      </c>
      <c r="D220" s="32">
        <v>0.15</v>
      </c>
      <c r="E220" s="32">
        <v>0.16</v>
      </c>
      <c r="F220" s="32">
        <v>0.14000000000000001</v>
      </c>
      <c r="G220" s="32">
        <v>0.09</v>
      </c>
      <c r="H220" s="32">
        <v>0.08</v>
      </c>
      <c r="I220" s="32">
        <v>0.06</v>
      </c>
      <c r="J220" s="32">
        <v>0.06</v>
      </c>
      <c r="K220" s="32">
        <v>0.05</v>
      </c>
      <c r="L220" s="32">
        <v>0.04</v>
      </c>
      <c r="M220" s="32">
        <v>0.03</v>
      </c>
      <c r="N220" s="32">
        <v>0.03</v>
      </c>
      <c r="O220" s="32">
        <v>0.08</v>
      </c>
      <c r="P220" s="32"/>
      <c r="Q220" s="32"/>
    </row>
    <row r="221" spans="2:17" outlineLevel="1" x14ac:dyDescent="0.25">
      <c r="B221" s="10" t="s">
        <v>111</v>
      </c>
      <c r="C221" s="32">
        <v>0.03</v>
      </c>
      <c r="D221" s="32">
        <v>0.15</v>
      </c>
      <c r="E221" s="32">
        <v>0.16</v>
      </c>
      <c r="F221" s="32">
        <v>0.14000000000000001</v>
      </c>
      <c r="G221" s="32">
        <v>0.09</v>
      </c>
      <c r="H221" s="32">
        <v>0.08</v>
      </c>
      <c r="I221" s="32">
        <v>0.06</v>
      </c>
      <c r="J221" s="32">
        <v>0.06</v>
      </c>
      <c r="K221" s="32">
        <v>0.05</v>
      </c>
      <c r="L221" s="32">
        <v>0.04</v>
      </c>
      <c r="M221" s="32">
        <v>0.03</v>
      </c>
      <c r="N221" s="32">
        <v>0.03</v>
      </c>
      <c r="O221" s="32">
        <v>0.08</v>
      </c>
      <c r="P221" s="32"/>
      <c r="Q221" s="32"/>
    </row>
    <row r="222" spans="2:17" outlineLevel="1" x14ac:dyDescent="0.25">
      <c r="B222" s="10" t="s">
        <v>38</v>
      </c>
      <c r="C222" s="32">
        <v>0.03</v>
      </c>
      <c r="D222" s="32">
        <v>0.15</v>
      </c>
      <c r="E222" s="32">
        <v>0.16</v>
      </c>
      <c r="F222" s="32">
        <v>0.14000000000000001</v>
      </c>
      <c r="G222" s="32">
        <v>0.09</v>
      </c>
      <c r="H222" s="32">
        <v>0.08</v>
      </c>
      <c r="I222" s="32">
        <v>0.06</v>
      </c>
      <c r="J222" s="32">
        <v>0.06</v>
      </c>
      <c r="K222" s="32">
        <v>0.05</v>
      </c>
      <c r="L222" s="32">
        <v>0.04</v>
      </c>
      <c r="M222" s="32">
        <v>0.03</v>
      </c>
      <c r="N222" s="32">
        <v>0.03</v>
      </c>
      <c r="O222" s="32">
        <v>0.08</v>
      </c>
      <c r="P222" s="32"/>
      <c r="Q222" s="32"/>
    </row>
    <row r="223" spans="2:17" outlineLevel="1" x14ac:dyDescent="0.25">
      <c r="B223" s="10" t="s">
        <v>23</v>
      </c>
      <c r="C223" s="32">
        <v>0.03</v>
      </c>
      <c r="D223" s="32">
        <v>0.15</v>
      </c>
      <c r="E223" s="32">
        <v>0.16</v>
      </c>
      <c r="F223" s="32">
        <v>0.14000000000000001</v>
      </c>
      <c r="G223" s="32">
        <v>0.09</v>
      </c>
      <c r="H223" s="32">
        <v>0.08</v>
      </c>
      <c r="I223" s="32">
        <v>0.06</v>
      </c>
      <c r="J223" s="32">
        <v>0.06</v>
      </c>
      <c r="K223" s="32">
        <v>0.05</v>
      </c>
      <c r="L223" s="32">
        <v>0.04</v>
      </c>
      <c r="M223" s="32">
        <v>0.03</v>
      </c>
      <c r="N223" s="32">
        <v>0.03</v>
      </c>
      <c r="O223" s="32">
        <v>0.08</v>
      </c>
      <c r="P223" s="32"/>
      <c r="Q223" s="32"/>
    </row>
    <row r="224" spans="2:17" outlineLevel="1" x14ac:dyDescent="0.25">
      <c r="B224" s="10" t="s">
        <v>24</v>
      </c>
      <c r="C224" s="32">
        <v>0.03</v>
      </c>
      <c r="D224" s="32">
        <v>0.15</v>
      </c>
      <c r="E224" s="32">
        <v>0.16</v>
      </c>
      <c r="F224" s="32">
        <v>0.14000000000000001</v>
      </c>
      <c r="G224" s="32">
        <v>0.09</v>
      </c>
      <c r="H224" s="32">
        <v>0.08</v>
      </c>
      <c r="I224" s="32">
        <v>0.06</v>
      </c>
      <c r="J224" s="32">
        <v>0.06</v>
      </c>
      <c r="K224" s="32">
        <v>0.05</v>
      </c>
      <c r="L224" s="32">
        <v>0.04</v>
      </c>
      <c r="M224" s="32">
        <v>0.03</v>
      </c>
      <c r="N224" s="32">
        <v>0.03</v>
      </c>
      <c r="O224" s="32">
        <v>0.08</v>
      </c>
      <c r="P224" s="32"/>
      <c r="Q224" s="32"/>
    </row>
    <row r="225" spans="2:17" outlineLevel="1" x14ac:dyDescent="0.25">
      <c r="B225" s="10" t="s">
        <v>25</v>
      </c>
      <c r="C225" s="32">
        <v>0.03</v>
      </c>
      <c r="D225" s="32">
        <v>0.15</v>
      </c>
      <c r="E225" s="32">
        <v>0.16</v>
      </c>
      <c r="F225" s="32">
        <v>0.14000000000000001</v>
      </c>
      <c r="G225" s="32">
        <v>0.09</v>
      </c>
      <c r="H225" s="32">
        <v>0.08</v>
      </c>
      <c r="I225" s="32">
        <v>0.06</v>
      </c>
      <c r="J225" s="32">
        <v>0.06</v>
      </c>
      <c r="K225" s="32">
        <v>0.05</v>
      </c>
      <c r="L225" s="32">
        <v>0.04</v>
      </c>
      <c r="M225" s="32">
        <v>0.03</v>
      </c>
      <c r="N225" s="32">
        <v>0.03</v>
      </c>
      <c r="O225" s="32">
        <v>0.08</v>
      </c>
      <c r="P225" s="32"/>
      <c r="Q225" s="32"/>
    </row>
    <row r="226" spans="2:17" outlineLevel="1" x14ac:dyDescent="0.25">
      <c r="B226" s="10" t="s">
        <v>26</v>
      </c>
      <c r="C226" s="32">
        <v>0.35</v>
      </c>
      <c r="D226" s="32">
        <v>0.33</v>
      </c>
      <c r="E226" s="32">
        <v>0.08</v>
      </c>
      <c r="F226" s="32">
        <v>0.08</v>
      </c>
      <c r="G226" s="32">
        <v>0</v>
      </c>
      <c r="H226" s="32">
        <v>0.04</v>
      </c>
      <c r="I226" s="32">
        <v>0.03</v>
      </c>
      <c r="J226" s="32">
        <v>0.09</v>
      </c>
      <c r="K226" s="32"/>
      <c r="L226" s="32"/>
      <c r="M226" s="32"/>
      <c r="N226" s="32"/>
      <c r="O226" s="32"/>
      <c r="P226" s="32"/>
      <c r="Q226" s="32"/>
    </row>
    <row r="227" spans="2:17" outlineLevel="1" x14ac:dyDescent="0.25">
      <c r="B227" s="10" t="s">
        <v>27</v>
      </c>
      <c r="C227" s="32">
        <v>0.03</v>
      </c>
      <c r="D227" s="32">
        <v>0.15</v>
      </c>
      <c r="E227" s="32">
        <v>0.16</v>
      </c>
      <c r="F227" s="32">
        <v>0.14000000000000001</v>
      </c>
      <c r="G227" s="32">
        <v>0.09</v>
      </c>
      <c r="H227" s="32">
        <v>0.08</v>
      </c>
      <c r="I227" s="32">
        <v>0.06</v>
      </c>
      <c r="J227" s="32">
        <v>0.06</v>
      </c>
      <c r="K227" s="32">
        <v>0.05</v>
      </c>
      <c r="L227" s="32">
        <v>0.04</v>
      </c>
      <c r="M227" s="32">
        <v>0.03</v>
      </c>
      <c r="N227" s="32">
        <v>0.03</v>
      </c>
      <c r="O227" s="32">
        <v>0.08</v>
      </c>
      <c r="P227" s="32"/>
      <c r="Q227" s="32"/>
    </row>
    <row r="228" spans="2:17" outlineLevel="1" x14ac:dyDescent="0.25">
      <c r="B228" s="10" t="s">
        <v>28</v>
      </c>
      <c r="C228" s="32">
        <v>0.03</v>
      </c>
      <c r="D228" s="32">
        <v>0.15</v>
      </c>
      <c r="E228" s="32">
        <v>0.16</v>
      </c>
      <c r="F228" s="32">
        <v>0.14000000000000001</v>
      </c>
      <c r="G228" s="32">
        <v>0.09</v>
      </c>
      <c r="H228" s="32">
        <v>0.08</v>
      </c>
      <c r="I228" s="32">
        <v>0.06</v>
      </c>
      <c r="J228" s="32">
        <v>0.06</v>
      </c>
      <c r="K228" s="32">
        <v>0.05</v>
      </c>
      <c r="L228" s="32">
        <v>0.04</v>
      </c>
      <c r="M228" s="32">
        <v>0.03</v>
      </c>
      <c r="N228" s="32">
        <v>0.03</v>
      </c>
      <c r="O228" s="32">
        <v>0.08</v>
      </c>
      <c r="P228" s="32"/>
      <c r="Q228" s="32"/>
    </row>
    <row r="229" spans="2:17" outlineLevel="1" x14ac:dyDescent="0.25">
      <c r="B229" s="10" t="s">
        <v>29</v>
      </c>
      <c r="C229" s="32">
        <v>0.03</v>
      </c>
      <c r="D229" s="32">
        <v>0.15</v>
      </c>
      <c r="E229" s="32">
        <v>0.16</v>
      </c>
      <c r="F229" s="32">
        <v>0.14000000000000001</v>
      </c>
      <c r="G229" s="32">
        <v>0.09</v>
      </c>
      <c r="H229" s="32">
        <v>0.08</v>
      </c>
      <c r="I229" s="32">
        <v>0.06</v>
      </c>
      <c r="J229" s="32">
        <v>0.06</v>
      </c>
      <c r="K229" s="32">
        <v>0.05</v>
      </c>
      <c r="L229" s="32">
        <v>0.04</v>
      </c>
      <c r="M229" s="32">
        <v>0.03</v>
      </c>
      <c r="N229" s="32">
        <v>0.03</v>
      </c>
      <c r="O229" s="32">
        <v>0.08</v>
      </c>
      <c r="P229" s="32"/>
      <c r="Q229" s="32"/>
    </row>
    <row r="230" spans="2:17" outlineLevel="1" x14ac:dyDescent="0.25">
      <c r="B230" s="10" t="s">
        <v>30</v>
      </c>
      <c r="C230" s="32">
        <v>0.24</v>
      </c>
      <c r="D230" s="32">
        <v>0.4</v>
      </c>
      <c r="E230" s="32">
        <v>0.21</v>
      </c>
      <c r="F230" s="32">
        <v>0.12</v>
      </c>
      <c r="G230" s="32">
        <f>1-SUM(C230:F230)</f>
        <v>3.0000000000000027E-2</v>
      </c>
      <c r="H230" s="32"/>
      <c r="I230" s="32"/>
      <c r="J230" s="32"/>
      <c r="K230" s="32"/>
      <c r="L230" s="32"/>
      <c r="M230" s="32"/>
      <c r="N230" s="32"/>
      <c r="O230" s="32"/>
      <c r="P230" s="32"/>
      <c r="Q230" s="32"/>
    </row>
    <row r="231" spans="2:17" outlineLevel="1" x14ac:dyDescent="0.25">
      <c r="B231" s="10" t="s">
        <v>31</v>
      </c>
      <c r="C231" s="32">
        <v>0.35</v>
      </c>
      <c r="D231" s="32">
        <v>0.33</v>
      </c>
      <c r="E231" s="32">
        <v>0.08</v>
      </c>
      <c r="F231" s="32">
        <v>0.08</v>
      </c>
      <c r="G231" s="32">
        <v>0</v>
      </c>
      <c r="H231" s="32">
        <v>0.04</v>
      </c>
      <c r="I231" s="32">
        <v>0.03</v>
      </c>
      <c r="J231" s="32">
        <v>0.09</v>
      </c>
      <c r="K231" s="32"/>
      <c r="L231" s="32"/>
      <c r="M231" s="32"/>
      <c r="N231" s="32"/>
      <c r="O231" s="32"/>
      <c r="P231" s="32"/>
      <c r="Q231" s="32"/>
    </row>
    <row r="232" spans="2:17" outlineLevel="1" x14ac:dyDescent="0.25">
      <c r="B232" s="10" t="s">
        <v>32</v>
      </c>
      <c r="C232" s="32">
        <v>0.35</v>
      </c>
      <c r="D232" s="32">
        <v>0.33</v>
      </c>
      <c r="E232" s="32">
        <v>0.08</v>
      </c>
      <c r="F232" s="32">
        <v>0.08</v>
      </c>
      <c r="G232" s="32">
        <v>0</v>
      </c>
      <c r="H232" s="32">
        <v>0.04</v>
      </c>
      <c r="I232" s="32">
        <v>0.03</v>
      </c>
      <c r="J232" s="32">
        <v>0.09</v>
      </c>
      <c r="K232" s="32"/>
      <c r="L232" s="32"/>
      <c r="M232" s="32"/>
      <c r="N232" s="32"/>
      <c r="O232" s="32"/>
      <c r="P232" s="32"/>
      <c r="Q232" s="32"/>
    </row>
    <row r="233" spans="2:17" outlineLevel="1" x14ac:dyDescent="0.25">
      <c r="B233" s="10" t="s">
        <v>33</v>
      </c>
      <c r="C233" s="32">
        <v>0.35</v>
      </c>
      <c r="D233" s="32">
        <v>0.33</v>
      </c>
      <c r="E233" s="32">
        <v>0.08</v>
      </c>
      <c r="F233" s="32">
        <v>0.08</v>
      </c>
      <c r="G233" s="32">
        <v>0</v>
      </c>
      <c r="H233" s="32">
        <v>0.04</v>
      </c>
      <c r="I233" s="32">
        <v>0.03</v>
      </c>
      <c r="J233" s="32">
        <v>0.09</v>
      </c>
      <c r="K233" s="32"/>
      <c r="L233" s="32"/>
      <c r="M233" s="32"/>
      <c r="N233" s="32"/>
      <c r="O233" s="32"/>
      <c r="P233" s="32"/>
      <c r="Q233" s="32"/>
    </row>
    <row r="234" spans="2:17" outlineLevel="1" x14ac:dyDescent="0.25">
      <c r="B234" s="10" t="s">
        <v>34</v>
      </c>
      <c r="C234" s="32">
        <v>0.35</v>
      </c>
      <c r="D234" s="32">
        <v>0.33</v>
      </c>
      <c r="E234" s="32">
        <v>0.08</v>
      </c>
      <c r="F234" s="32">
        <v>0.08</v>
      </c>
      <c r="G234" s="32">
        <v>0</v>
      </c>
      <c r="H234" s="32">
        <v>0.04</v>
      </c>
      <c r="I234" s="32">
        <v>0.03</v>
      </c>
      <c r="J234" s="32">
        <v>0.09</v>
      </c>
      <c r="K234" s="32"/>
      <c r="L234" s="32"/>
      <c r="M234" s="32"/>
      <c r="N234" s="32"/>
      <c r="O234" s="32"/>
      <c r="P234" s="32"/>
      <c r="Q234" s="32"/>
    </row>
    <row r="235" spans="2:17" outlineLevel="1" x14ac:dyDescent="0.25">
      <c r="B235" s="10" t="s">
        <v>35</v>
      </c>
      <c r="C235" s="32">
        <v>0.5</v>
      </c>
      <c r="D235" s="32">
        <v>0.3</v>
      </c>
      <c r="E235" s="32">
        <v>0.1</v>
      </c>
      <c r="F235" s="32">
        <v>9.9999999999999978E-2</v>
      </c>
      <c r="G235" s="32"/>
      <c r="H235" s="32"/>
      <c r="I235" s="32"/>
      <c r="J235" s="32"/>
      <c r="K235" s="32"/>
      <c r="L235" s="32"/>
      <c r="M235" s="32"/>
      <c r="N235" s="32"/>
      <c r="O235" s="32"/>
      <c r="P235" s="32"/>
      <c r="Q235" s="32"/>
    </row>
    <row r="236" spans="2:17" outlineLevel="1" x14ac:dyDescent="0.25">
      <c r="B236" s="10" t="s">
        <v>36</v>
      </c>
      <c r="C236" s="32">
        <v>0.35</v>
      </c>
      <c r="D236" s="32">
        <v>0.33</v>
      </c>
      <c r="E236" s="32">
        <v>0.08</v>
      </c>
      <c r="F236" s="32">
        <v>0.08</v>
      </c>
      <c r="G236" s="32">
        <v>0</v>
      </c>
      <c r="H236" s="32">
        <v>0.04</v>
      </c>
      <c r="I236" s="32">
        <v>0.03</v>
      </c>
      <c r="J236" s="32">
        <v>0.09</v>
      </c>
      <c r="K236" s="32"/>
      <c r="L236" s="32"/>
      <c r="M236" s="32"/>
      <c r="N236" s="32"/>
      <c r="O236" s="32"/>
      <c r="P236" s="32"/>
      <c r="Q236" s="32"/>
    </row>
    <row r="237" spans="2:17" outlineLevel="1" x14ac:dyDescent="0.25">
      <c r="B237" s="10" t="s">
        <v>37</v>
      </c>
      <c r="C237" s="32">
        <v>0.6</v>
      </c>
      <c r="D237" s="32">
        <v>0.25</v>
      </c>
      <c r="E237" s="32">
        <v>0.1</v>
      </c>
      <c r="F237" s="32">
        <v>0.05</v>
      </c>
      <c r="G237" s="32"/>
      <c r="H237" s="32"/>
      <c r="I237" s="32"/>
      <c r="J237" s="32"/>
      <c r="K237" s="32"/>
      <c r="L237" s="32"/>
      <c r="M237" s="32"/>
      <c r="N237" s="32"/>
      <c r="O237" s="32"/>
      <c r="P237" s="32"/>
      <c r="Q237" s="32"/>
    </row>
    <row r="238" spans="2:17" outlineLevel="1" x14ac:dyDescent="0.25">
      <c r="B238" s="10" t="s">
        <v>39</v>
      </c>
      <c r="C238" s="32">
        <v>0.24</v>
      </c>
      <c r="D238" s="32">
        <v>0.4</v>
      </c>
      <c r="E238" s="32">
        <v>0.21</v>
      </c>
      <c r="F238" s="32">
        <v>0.12</v>
      </c>
      <c r="G238" s="32">
        <f>1-SUM(C238:F238)</f>
        <v>3.0000000000000027E-2</v>
      </c>
      <c r="H238" s="32"/>
      <c r="I238" s="32"/>
      <c r="J238" s="32"/>
      <c r="K238" s="32"/>
      <c r="L238" s="32"/>
      <c r="M238" s="32"/>
      <c r="N238" s="32"/>
      <c r="O238" s="32"/>
      <c r="P238" s="32"/>
      <c r="Q238" s="32"/>
    </row>
    <row r="239" spans="2:17" outlineLevel="1" x14ac:dyDescent="0.25">
      <c r="B239" s="10" t="s">
        <v>40</v>
      </c>
      <c r="C239" s="32">
        <v>0.24</v>
      </c>
      <c r="D239" s="32">
        <v>0.4</v>
      </c>
      <c r="E239" s="32">
        <v>0.21</v>
      </c>
      <c r="F239" s="32">
        <v>0.12</v>
      </c>
      <c r="G239" s="32">
        <f>1-SUM(C239:F239)</f>
        <v>3.0000000000000027E-2</v>
      </c>
      <c r="H239" s="32"/>
      <c r="I239" s="32"/>
      <c r="J239" s="32"/>
      <c r="K239" s="32"/>
      <c r="L239" s="32"/>
      <c r="M239" s="32"/>
      <c r="N239" s="32"/>
      <c r="O239" s="32"/>
      <c r="P239" s="32"/>
      <c r="Q239" s="32"/>
    </row>
    <row r="240" spans="2:17" outlineLevel="1" x14ac:dyDescent="0.25">
      <c r="B240" s="10" t="s">
        <v>41</v>
      </c>
      <c r="C240" s="32">
        <v>0.5</v>
      </c>
      <c r="D240" s="32">
        <v>0.3</v>
      </c>
      <c r="E240" s="32">
        <v>0.1</v>
      </c>
      <c r="F240" s="32">
        <v>9.9999999999999978E-2</v>
      </c>
      <c r="G240" s="32"/>
      <c r="H240" s="32"/>
      <c r="I240" s="32"/>
      <c r="J240" s="32"/>
      <c r="K240" s="32"/>
      <c r="L240" s="32"/>
      <c r="M240" s="32"/>
      <c r="N240" s="32"/>
      <c r="O240" s="32"/>
      <c r="P240" s="32"/>
      <c r="Q240" s="32"/>
    </row>
    <row r="241" spans="2:17" outlineLevel="1" x14ac:dyDescent="0.25">
      <c r="B241" s="10" t="s">
        <v>42</v>
      </c>
      <c r="C241" s="32">
        <v>0.35</v>
      </c>
      <c r="D241" s="32">
        <v>0.33</v>
      </c>
      <c r="E241" s="32">
        <v>0.08</v>
      </c>
      <c r="F241" s="32">
        <v>0.08</v>
      </c>
      <c r="G241" s="32">
        <v>0</v>
      </c>
      <c r="H241" s="32">
        <v>0.04</v>
      </c>
      <c r="I241" s="32">
        <v>0.03</v>
      </c>
      <c r="J241" s="32">
        <v>0.09</v>
      </c>
      <c r="K241" s="32"/>
      <c r="L241" s="32"/>
      <c r="M241" s="32"/>
      <c r="N241" s="32"/>
      <c r="O241" s="32"/>
      <c r="P241" s="32"/>
      <c r="Q241" s="32"/>
    </row>
    <row r="242" spans="2:17" outlineLevel="1" x14ac:dyDescent="0.25">
      <c r="B242" s="10" t="s">
        <v>43</v>
      </c>
      <c r="C242" s="32">
        <v>0.35</v>
      </c>
      <c r="D242" s="32">
        <v>0.33</v>
      </c>
      <c r="E242" s="32">
        <v>0.08</v>
      </c>
      <c r="F242" s="32">
        <v>0.08</v>
      </c>
      <c r="G242" s="32">
        <v>0</v>
      </c>
      <c r="H242" s="32">
        <v>0.04</v>
      </c>
      <c r="I242" s="32">
        <v>0.03</v>
      </c>
      <c r="J242" s="32">
        <v>0.09</v>
      </c>
      <c r="K242" s="32"/>
      <c r="L242" s="32"/>
      <c r="M242" s="32"/>
      <c r="N242" s="32"/>
      <c r="O242" s="32"/>
      <c r="P242" s="32"/>
      <c r="Q242" s="32"/>
    </row>
    <row r="243" spans="2:17" outlineLevel="1" x14ac:dyDescent="0.25">
      <c r="B243" s="10" t="s">
        <v>48</v>
      </c>
      <c r="C243" s="32">
        <v>0.35</v>
      </c>
      <c r="D243" s="32">
        <v>0.33</v>
      </c>
      <c r="E243" s="32">
        <v>0.08</v>
      </c>
      <c r="F243" s="32">
        <v>0.08</v>
      </c>
      <c r="G243" s="32">
        <v>0</v>
      </c>
      <c r="H243" s="32">
        <v>0.04</v>
      </c>
      <c r="I243" s="32">
        <v>0.03</v>
      </c>
      <c r="J243" s="32">
        <v>0.09</v>
      </c>
      <c r="K243" s="32"/>
      <c r="L243" s="32"/>
      <c r="M243" s="32"/>
      <c r="N243" s="32"/>
      <c r="O243" s="32"/>
      <c r="P243" s="32"/>
      <c r="Q243" s="32"/>
    </row>
    <row r="244" spans="2:17" outlineLevel="1" x14ac:dyDescent="0.25">
      <c r="B244" s="10" t="s">
        <v>44</v>
      </c>
      <c r="C244" s="32">
        <v>0.24</v>
      </c>
      <c r="D244" s="32">
        <v>0.4</v>
      </c>
      <c r="E244" s="32">
        <v>0.21</v>
      </c>
      <c r="F244" s="32">
        <v>0.12</v>
      </c>
      <c r="G244" s="32">
        <f>1-SUM(C244:F244)</f>
        <v>3.0000000000000027E-2</v>
      </c>
      <c r="H244" s="32"/>
      <c r="I244" s="32"/>
      <c r="J244" s="32"/>
      <c r="K244" s="32"/>
      <c r="L244" s="32"/>
      <c r="M244" s="32"/>
      <c r="N244" s="32"/>
      <c r="O244" s="32"/>
      <c r="P244" s="32"/>
      <c r="Q244" s="32"/>
    </row>
    <row r="245" spans="2:17" outlineLevel="1" x14ac:dyDescent="0.25">
      <c r="B245" s="10" t="s">
        <v>45</v>
      </c>
      <c r="C245" s="32">
        <v>0.24</v>
      </c>
      <c r="D245" s="32">
        <v>0.4</v>
      </c>
      <c r="E245" s="32">
        <v>0.21</v>
      </c>
      <c r="F245" s="32">
        <v>0.12</v>
      </c>
      <c r="G245" s="32">
        <f>1-SUM(C245:F245)</f>
        <v>3.0000000000000027E-2</v>
      </c>
      <c r="H245" s="32"/>
      <c r="I245" s="32"/>
      <c r="J245" s="32"/>
      <c r="K245" s="32"/>
      <c r="L245" s="32"/>
      <c r="M245" s="32"/>
      <c r="N245" s="32"/>
      <c r="O245" s="32"/>
      <c r="P245" s="32"/>
      <c r="Q245" s="32"/>
    </row>
    <row r="246" spans="2:17" outlineLevel="1" x14ac:dyDescent="0.25">
      <c r="B246" s="10" t="s">
        <v>46</v>
      </c>
      <c r="C246" s="32">
        <v>0.03</v>
      </c>
      <c r="D246" s="32">
        <v>0.15</v>
      </c>
      <c r="E246" s="32">
        <v>0.16</v>
      </c>
      <c r="F246" s="32">
        <v>0.14000000000000001</v>
      </c>
      <c r="G246" s="32">
        <v>0.09</v>
      </c>
      <c r="H246" s="32">
        <v>0.08</v>
      </c>
      <c r="I246" s="32">
        <v>0.06</v>
      </c>
      <c r="J246" s="32">
        <v>0.06</v>
      </c>
      <c r="K246" s="32">
        <v>0.05</v>
      </c>
      <c r="L246" s="32">
        <v>0.04</v>
      </c>
      <c r="M246" s="32">
        <v>0.03</v>
      </c>
      <c r="N246" s="32">
        <v>0.03</v>
      </c>
      <c r="O246" s="32">
        <v>0.08</v>
      </c>
      <c r="P246" s="32"/>
      <c r="Q246" s="32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2:D3"/>
  <sheetViews>
    <sheetView showGridLines="0" workbookViewId="0">
      <selection activeCell="A2" sqref="A2"/>
    </sheetView>
  </sheetViews>
  <sheetFormatPr defaultRowHeight="15" x14ac:dyDescent="0.25"/>
  <cols>
    <col min="2" max="2" width="17.42578125" customWidth="1"/>
    <col min="3" max="3" width="47.7109375" customWidth="1"/>
  </cols>
  <sheetData>
    <row r="2" spans="2:4" x14ac:dyDescent="0.25">
      <c r="B2" s="2" t="s">
        <v>4</v>
      </c>
      <c r="C2" s="2" t="s">
        <v>15</v>
      </c>
      <c r="D2" s="7" t="s">
        <v>160</v>
      </c>
    </row>
    <row r="3" spans="2:4" x14ac:dyDescent="0.25">
      <c r="B3" s="10" t="s">
        <v>22</v>
      </c>
      <c r="C3" s="17" t="str">
        <f>"Raw Data\Non Cat\"&amp;B3&amp;".xlsx"</f>
        <v>Raw Data\Non Cat\Cedant101.xlsx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B2:R18"/>
  <sheetViews>
    <sheetView showGridLines="0" zoomScaleNormal="100" workbookViewId="0">
      <selection activeCell="L7" sqref="L7"/>
    </sheetView>
  </sheetViews>
  <sheetFormatPr defaultRowHeight="15" x14ac:dyDescent="0.25"/>
  <cols>
    <col min="2" max="2" width="40.42578125" customWidth="1"/>
  </cols>
  <sheetData>
    <row r="2" spans="2:18" x14ac:dyDescent="0.25">
      <c r="B2" s="2" t="s">
        <v>16</v>
      </c>
      <c r="C2" s="17" t="s">
        <v>23</v>
      </c>
      <c r="D2" s="17" t="s">
        <v>24</v>
      </c>
      <c r="E2" s="17" t="s">
        <v>25</v>
      </c>
      <c r="F2" s="17" t="s">
        <v>26</v>
      </c>
      <c r="G2" s="17" t="s">
        <v>27</v>
      </c>
      <c r="H2" s="17" t="s">
        <v>28</v>
      </c>
      <c r="I2" s="17" t="s">
        <v>29</v>
      </c>
      <c r="J2" s="17" t="s">
        <v>30</v>
      </c>
      <c r="K2" s="17" t="s">
        <v>31</v>
      </c>
      <c r="L2" s="17" t="s">
        <v>32</v>
      </c>
      <c r="M2" s="17" t="s">
        <v>33</v>
      </c>
      <c r="N2" s="17" t="s">
        <v>34</v>
      </c>
      <c r="O2" s="17" t="s">
        <v>35</v>
      </c>
      <c r="P2" s="17" t="s">
        <v>36</v>
      </c>
      <c r="Q2" s="17" t="s">
        <v>37</v>
      </c>
      <c r="R2" s="17" t="s">
        <v>38</v>
      </c>
    </row>
    <row r="3" spans="2:18" x14ac:dyDescent="0.25">
      <c r="B3" s="17" t="s">
        <v>23</v>
      </c>
      <c r="C3" s="4">
        <v>1</v>
      </c>
    </row>
    <row r="4" spans="2:18" x14ac:dyDescent="0.25">
      <c r="B4" s="17" t="s">
        <v>24</v>
      </c>
      <c r="C4" s="4">
        <v>0.37</v>
      </c>
      <c r="D4" s="4">
        <v>1</v>
      </c>
    </row>
    <row r="5" spans="2:18" x14ac:dyDescent="0.25">
      <c r="B5" s="17" t="s">
        <v>25</v>
      </c>
      <c r="C5" s="4">
        <v>1</v>
      </c>
      <c r="D5" s="4">
        <v>0.37</v>
      </c>
      <c r="E5" s="4">
        <v>1</v>
      </c>
    </row>
    <row r="6" spans="2:18" x14ac:dyDescent="0.25">
      <c r="B6" s="17" t="s">
        <v>26</v>
      </c>
      <c r="C6" s="4">
        <v>0.37</v>
      </c>
      <c r="D6" s="4">
        <v>1</v>
      </c>
      <c r="E6" s="4">
        <v>0.37</v>
      </c>
      <c r="F6" s="4">
        <v>1</v>
      </c>
    </row>
    <row r="7" spans="2:18" x14ac:dyDescent="0.25">
      <c r="B7" s="17" t="s">
        <v>27</v>
      </c>
      <c r="C7" s="4">
        <v>0.21</v>
      </c>
      <c r="D7" s="4">
        <v>0.16</v>
      </c>
      <c r="E7" s="4">
        <v>0.21</v>
      </c>
      <c r="F7" s="4">
        <v>0.16</v>
      </c>
      <c r="G7" s="4">
        <v>1</v>
      </c>
    </row>
    <row r="8" spans="2:18" x14ac:dyDescent="0.25">
      <c r="B8" s="17" t="s">
        <v>28</v>
      </c>
      <c r="C8" s="4">
        <v>0.37</v>
      </c>
      <c r="D8" s="4">
        <v>1</v>
      </c>
      <c r="E8" s="4">
        <v>0.37</v>
      </c>
      <c r="F8" s="4">
        <v>1</v>
      </c>
      <c r="G8" s="4">
        <v>0.16</v>
      </c>
      <c r="H8" s="4">
        <v>1</v>
      </c>
    </row>
    <row r="9" spans="2:18" x14ac:dyDescent="0.25">
      <c r="B9" s="17" t="s">
        <v>29</v>
      </c>
      <c r="C9" s="4">
        <v>0.28000000000000003</v>
      </c>
      <c r="D9" s="4">
        <v>0.19</v>
      </c>
      <c r="E9" s="4">
        <v>0.28000000000000003</v>
      </c>
      <c r="F9" s="4">
        <v>0.19</v>
      </c>
      <c r="G9" s="4">
        <v>0.32</v>
      </c>
      <c r="H9" s="4">
        <v>0.19</v>
      </c>
      <c r="I9" s="4">
        <v>1</v>
      </c>
    </row>
    <row r="10" spans="2:18" x14ac:dyDescent="0.25">
      <c r="B10" s="17" t="s">
        <v>30</v>
      </c>
      <c r="C10" s="4">
        <v>0.28000000000000003</v>
      </c>
      <c r="D10" s="4">
        <v>0.19</v>
      </c>
      <c r="E10" s="4">
        <v>0.28000000000000003</v>
      </c>
      <c r="F10" s="4">
        <v>0.19</v>
      </c>
      <c r="G10" s="4">
        <v>0.32</v>
      </c>
      <c r="H10" s="4">
        <v>0.19</v>
      </c>
      <c r="I10" s="4">
        <v>1</v>
      </c>
      <c r="J10" s="4">
        <v>1</v>
      </c>
    </row>
    <row r="11" spans="2:18" x14ac:dyDescent="0.25">
      <c r="B11" s="17" t="s">
        <v>31</v>
      </c>
      <c r="C11" s="4">
        <v>0.51</v>
      </c>
      <c r="D11" s="4">
        <v>0.49</v>
      </c>
      <c r="E11" s="4">
        <v>0.51</v>
      </c>
      <c r="F11" s="4">
        <v>0.49</v>
      </c>
      <c r="G11" s="4">
        <v>0.1</v>
      </c>
      <c r="H11" s="4">
        <v>0.49</v>
      </c>
      <c r="I11" s="4">
        <v>0.14000000000000001</v>
      </c>
      <c r="J11" s="4">
        <v>0.14000000000000001</v>
      </c>
      <c r="K11" s="4">
        <v>1</v>
      </c>
    </row>
    <row r="12" spans="2:18" x14ac:dyDescent="0.25">
      <c r="B12" s="17" t="s">
        <v>32</v>
      </c>
      <c r="C12" s="4">
        <v>0.51</v>
      </c>
      <c r="D12" s="4">
        <v>0.49</v>
      </c>
      <c r="E12" s="4">
        <v>0.51</v>
      </c>
      <c r="F12" s="4">
        <v>0.49</v>
      </c>
      <c r="G12" s="4">
        <v>0.1</v>
      </c>
      <c r="H12" s="4">
        <v>0.49</v>
      </c>
      <c r="I12" s="4">
        <v>0.14000000000000001</v>
      </c>
      <c r="J12" s="4">
        <v>0.14000000000000001</v>
      </c>
      <c r="K12" s="4">
        <v>1</v>
      </c>
      <c r="L12" s="4">
        <v>1</v>
      </c>
    </row>
    <row r="13" spans="2:18" x14ac:dyDescent="0.25">
      <c r="B13" s="17" t="s">
        <v>33</v>
      </c>
      <c r="C13" s="4">
        <v>0.51</v>
      </c>
      <c r="D13" s="4">
        <v>0.49</v>
      </c>
      <c r="E13" s="4">
        <v>0.51</v>
      </c>
      <c r="F13" s="4">
        <v>0.49</v>
      </c>
      <c r="G13" s="4">
        <v>0.1</v>
      </c>
      <c r="H13" s="4">
        <v>0.49</v>
      </c>
      <c r="I13" s="4">
        <v>0.14000000000000001</v>
      </c>
      <c r="J13" s="4">
        <v>0.14000000000000001</v>
      </c>
      <c r="K13" s="4">
        <v>1</v>
      </c>
      <c r="L13" s="4">
        <v>1</v>
      </c>
      <c r="M13" s="4">
        <v>1</v>
      </c>
    </row>
    <row r="14" spans="2:18" x14ac:dyDescent="0.25">
      <c r="B14" s="17" t="s">
        <v>34</v>
      </c>
      <c r="C14" s="4">
        <v>0.51</v>
      </c>
      <c r="D14" s="4">
        <v>0.49</v>
      </c>
      <c r="E14" s="4">
        <v>0.51</v>
      </c>
      <c r="F14" s="4">
        <v>0.49</v>
      </c>
      <c r="G14" s="4">
        <v>0.1</v>
      </c>
      <c r="H14" s="4">
        <v>0.49</v>
      </c>
      <c r="I14" s="4">
        <v>0.14000000000000001</v>
      </c>
      <c r="J14" s="4">
        <v>0.14000000000000001</v>
      </c>
      <c r="K14" s="4">
        <v>1</v>
      </c>
      <c r="L14" s="4">
        <v>1</v>
      </c>
      <c r="M14" s="4">
        <v>1</v>
      </c>
      <c r="N14" s="4">
        <v>1</v>
      </c>
    </row>
    <row r="15" spans="2:18" x14ac:dyDescent="0.25">
      <c r="B15" s="17" t="s">
        <v>35</v>
      </c>
      <c r="C15" s="4">
        <v>0.21</v>
      </c>
      <c r="D15" s="4">
        <v>0.27</v>
      </c>
      <c r="E15" s="4">
        <v>0.21</v>
      </c>
      <c r="F15" s="4">
        <v>0.27</v>
      </c>
      <c r="G15" s="4">
        <v>0.16</v>
      </c>
      <c r="H15" s="4">
        <v>0.27</v>
      </c>
      <c r="I15" s="4">
        <v>0.31</v>
      </c>
      <c r="J15" s="4">
        <v>0.31</v>
      </c>
      <c r="K15" s="4">
        <v>0.27</v>
      </c>
      <c r="L15" s="4">
        <v>0.27</v>
      </c>
      <c r="M15" s="4">
        <v>0.27</v>
      </c>
      <c r="N15" s="4">
        <v>0.27</v>
      </c>
      <c r="O15" s="4">
        <v>1</v>
      </c>
    </row>
    <row r="16" spans="2:18" x14ac:dyDescent="0.25">
      <c r="B16" s="17" t="s">
        <v>36</v>
      </c>
      <c r="C16" s="4">
        <v>0.37</v>
      </c>
      <c r="D16" s="4">
        <v>1</v>
      </c>
      <c r="E16" s="4">
        <v>0.37</v>
      </c>
      <c r="F16" s="4">
        <v>1</v>
      </c>
      <c r="G16" s="4">
        <v>0.16</v>
      </c>
      <c r="H16" s="4">
        <v>1</v>
      </c>
      <c r="I16" s="4">
        <v>0.19</v>
      </c>
      <c r="J16" s="4">
        <v>0.19</v>
      </c>
      <c r="K16" s="4">
        <v>0.49</v>
      </c>
      <c r="L16" s="4">
        <v>0.49</v>
      </c>
      <c r="M16" s="4">
        <v>0.49</v>
      </c>
      <c r="N16" s="4">
        <v>0.49</v>
      </c>
      <c r="O16" s="4">
        <v>0.27</v>
      </c>
      <c r="P16" s="4">
        <v>1</v>
      </c>
    </row>
    <row r="17" spans="2:18" x14ac:dyDescent="0.25">
      <c r="B17" s="17" t="s">
        <v>37</v>
      </c>
      <c r="C17" s="4">
        <v>0.03</v>
      </c>
      <c r="D17" s="4">
        <v>0.24</v>
      </c>
      <c r="E17" s="4">
        <v>0.03</v>
      </c>
      <c r="F17" s="4">
        <v>0.24</v>
      </c>
      <c r="G17" s="4">
        <v>0.23</v>
      </c>
      <c r="H17" s="4">
        <v>0.24</v>
      </c>
      <c r="I17" s="4">
        <v>0.26</v>
      </c>
      <c r="J17" s="4">
        <v>0.26</v>
      </c>
      <c r="K17" s="4">
        <v>0.08</v>
      </c>
      <c r="L17" s="4">
        <v>0.08</v>
      </c>
      <c r="M17" s="4">
        <v>0.08</v>
      </c>
      <c r="N17" s="4">
        <v>0.08</v>
      </c>
      <c r="O17" s="4">
        <v>0.1</v>
      </c>
      <c r="P17" s="4">
        <v>0.24</v>
      </c>
      <c r="Q17" s="4">
        <v>1</v>
      </c>
    </row>
    <row r="18" spans="2:18" x14ac:dyDescent="0.25">
      <c r="B18" s="17" t="s">
        <v>38</v>
      </c>
      <c r="C18" s="4">
        <v>0</v>
      </c>
      <c r="D18" s="4">
        <v>0.04</v>
      </c>
      <c r="E18" s="4">
        <v>0</v>
      </c>
      <c r="F18" s="4">
        <v>0.04</v>
      </c>
      <c r="G18" s="4">
        <v>0</v>
      </c>
      <c r="H18" s="4">
        <v>0.04</v>
      </c>
      <c r="I18" s="4">
        <v>0.14000000000000001</v>
      </c>
      <c r="J18" s="4">
        <v>0.14000000000000001</v>
      </c>
      <c r="K18" s="4">
        <v>0</v>
      </c>
      <c r="L18" s="4">
        <v>0</v>
      </c>
      <c r="M18" s="4">
        <v>0</v>
      </c>
      <c r="N18" s="4">
        <v>0</v>
      </c>
      <c r="O18" s="4">
        <v>0.22</v>
      </c>
      <c r="P18" s="4">
        <v>0.04</v>
      </c>
      <c r="Q18" s="4">
        <v>0.19</v>
      </c>
      <c r="R18" s="4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B2:E17"/>
  <sheetViews>
    <sheetView showGridLines="0" zoomScaleNormal="100" workbookViewId="0"/>
  </sheetViews>
  <sheetFormatPr defaultRowHeight="15" x14ac:dyDescent="0.25"/>
  <cols>
    <col min="2" max="2" width="29.85546875" customWidth="1"/>
    <col min="3" max="3" width="15.85546875" customWidth="1"/>
    <col min="4" max="5" width="15" customWidth="1"/>
  </cols>
  <sheetData>
    <row r="2" spans="2:5" ht="30" x14ac:dyDescent="0.25">
      <c r="B2" s="14" t="s">
        <v>3</v>
      </c>
      <c r="C2" s="14" t="s">
        <v>1</v>
      </c>
      <c r="D2" s="14" t="s">
        <v>2</v>
      </c>
      <c r="E2" s="14" t="s">
        <v>10</v>
      </c>
    </row>
    <row r="3" spans="2:5" x14ac:dyDescent="0.25">
      <c r="B3" s="3" t="s">
        <v>49</v>
      </c>
      <c r="C3" s="4">
        <v>0</v>
      </c>
      <c r="D3" s="5"/>
      <c r="E3" s="15" t="s">
        <v>63</v>
      </c>
    </row>
    <row r="4" spans="2:5" x14ac:dyDescent="0.25">
      <c r="B4" s="3" t="s">
        <v>50</v>
      </c>
      <c r="C4" s="4">
        <v>0</v>
      </c>
      <c r="D4" s="5"/>
      <c r="E4" s="15" t="s">
        <v>63</v>
      </c>
    </row>
    <row r="5" spans="2:5" x14ac:dyDescent="0.25">
      <c r="B5" s="3" t="s">
        <v>51</v>
      </c>
      <c r="C5" s="4">
        <v>0</v>
      </c>
      <c r="D5" s="5"/>
      <c r="E5" s="15" t="s">
        <v>63</v>
      </c>
    </row>
    <row r="6" spans="2:5" x14ac:dyDescent="0.25">
      <c r="B6" s="3" t="s">
        <v>52</v>
      </c>
      <c r="C6" s="4">
        <v>0</v>
      </c>
      <c r="D6" s="5"/>
      <c r="E6" s="15" t="s">
        <v>63</v>
      </c>
    </row>
    <row r="7" spans="2:5" x14ac:dyDescent="0.25">
      <c r="B7" s="3" t="s">
        <v>53</v>
      </c>
      <c r="C7" s="4">
        <v>0</v>
      </c>
      <c r="D7" s="5"/>
      <c r="E7" s="15" t="s">
        <v>63</v>
      </c>
    </row>
    <row r="8" spans="2:5" x14ac:dyDescent="0.25">
      <c r="B8" s="3" t="s">
        <v>54</v>
      </c>
      <c r="C8" s="4">
        <v>0</v>
      </c>
      <c r="D8" s="5"/>
      <c r="E8" s="15" t="s">
        <v>63</v>
      </c>
    </row>
    <row r="9" spans="2:5" x14ac:dyDescent="0.25">
      <c r="B9" s="3" t="s">
        <v>55</v>
      </c>
      <c r="C9" s="4">
        <v>0</v>
      </c>
      <c r="D9" s="5"/>
      <c r="E9" s="15" t="s">
        <v>63</v>
      </c>
    </row>
    <row r="10" spans="2:5" x14ac:dyDescent="0.25">
      <c r="B10" s="3" t="s">
        <v>56</v>
      </c>
      <c r="C10" s="4">
        <v>0</v>
      </c>
      <c r="D10" s="5"/>
      <c r="E10" s="15" t="s">
        <v>63</v>
      </c>
    </row>
    <row r="11" spans="2:5" x14ac:dyDescent="0.25">
      <c r="B11" s="3" t="s">
        <v>57</v>
      </c>
      <c r="C11" s="4">
        <v>0</v>
      </c>
      <c r="D11" s="5"/>
      <c r="E11" s="15" t="s">
        <v>63</v>
      </c>
    </row>
    <row r="12" spans="2:5" x14ac:dyDescent="0.25">
      <c r="B12" s="19" t="s">
        <v>58</v>
      </c>
      <c r="C12" s="20">
        <v>0</v>
      </c>
      <c r="D12" s="5"/>
      <c r="E12" s="21" t="s">
        <v>63</v>
      </c>
    </row>
    <row r="13" spans="2:5" x14ac:dyDescent="0.25">
      <c r="B13" s="19" t="s">
        <v>59</v>
      </c>
      <c r="C13" s="20">
        <v>0</v>
      </c>
      <c r="D13" s="5"/>
      <c r="E13" s="21" t="s">
        <v>63</v>
      </c>
    </row>
    <row r="14" spans="2:5" x14ac:dyDescent="0.25">
      <c r="B14" s="19" t="s">
        <v>60</v>
      </c>
      <c r="C14" s="20">
        <v>0</v>
      </c>
      <c r="D14" s="5"/>
      <c r="E14" s="21" t="s">
        <v>63</v>
      </c>
    </row>
    <row r="15" spans="2:5" x14ac:dyDescent="0.25">
      <c r="B15" s="19" t="s">
        <v>61</v>
      </c>
      <c r="C15" s="20">
        <v>0</v>
      </c>
      <c r="D15" s="5"/>
      <c r="E15" s="21" t="s">
        <v>63</v>
      </c>
    </row>
    <row r="16" spans="2:5" x14ac:dyDescent="0.25">
      <c r="B16" s="19" t="s">
        <v>62</v>
      </c>
      <c r="C16" s="20">
        <v>0</v>
      </c>
      <c r="D16" s="5"/>
      <c r="E16" s="21" t="s">
        <v>63</v>
      </c>
    </row>
    <row r="17" spans="2:5" x14ac:dyDescent="0.25">
      <c r="B17" s="6"/>
      <c r="C17" s="6"/>
      <c r="D17" s="6"/>
      <c r="E17" s="6"/>
    </row>
  </sheetData>
  <conditionalFormatting sqref="D3:D16">
    <cfRule type="expression" dxfId="15" priority="4">
      <formula>$C3&gt;0</formula>
    </cfRule>
  </conditionalFormatting>
  <conditionalFormatting sqref="E3:E16">
    <cfRule type="expression" dxfId="14" priority="1">
      <formula>$C3&lt;1</formula>
    </cfRule>
  </conditionalFormatting>
  <dataValidations count="2">
    <dataValidation type="decimal" allowBlank="1" showInputMessage="1" showErrorMessage="1" sqref="C3:C16" xr:uid="{00000000-0002-0000-0800-000000000000}">
      <formula1>0</formula1>
      <formula2>1</formula2>
    </dataValidation>
    <dataValidation type="list" allowBlank="1" showInputMessage="1" showErrorMessage="1" sqref="E3:E16" xr:uid="{00000000-0002-0000-0800-000001000000}">
      <formula1>"Yes, No"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B1:Q105"/>
  <sheetViews>
    <sheetView showGridLines="0" workbookViewId="0"/>
  </sheetViews>
  <sheetFormatPr defaultRowHeight="15" x14ac:dyDescent="0.25"/>
  <cols>
    <col min="2" max="2" width="11.7109375" customWidth="1"/>
    <col min="3" max="4" width="43" customWidth="1"/>
    <col min="5" max="5" width="43.42578125" customWidth="1"/>
    <col min="6" max="6" width="44.140625" customWidth="1"/>
    <col min="7" max="8" width="47.28515625" customWidth="1"/>
    <col min="9" max="9" width="40.85546875" customWidth="1"/>
    <col min="10" max="12" width="44.140625" customWidth="1"/>
    <col min="13" max="13" width="48.42578125" customWidth="1"/>
    <col min="14" max="14" width="48.7109375" customWidth="1"/>
    <col min="15" max="16" width="38" customWidth="1"/>
  </cols>
  <sheetData>
    <row r="1" spans="2:17" x14ac:dyDescent="0.25"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</row>
    <row r="2" spans="2:17" x14ac:dyDescent="0.25">
      <c r="B2" s="7" t="s">
        <v>1</v>
      </c>
      <c r="C2" s="8">
        <f t="array" ref="C2:P2">TRANSPOSE('Cat_YET List'!C3:C16)</f>
        <v>0</v>
      </c>
      <c r="D2" s="8">
        <v>0</v>
      </c>
      <c r="E2" s="8">
        <v>0</v>
      </c>
      <c r="F2" s="8">
        <v>0</v>
      </c>
      <c r="G2" s="8">
        <v>0</v>
      </c>
      <c r="H2" s="8">
        <v>0</v>
      </c>
      <c r="I2" s="8">
        <v>0</v>
      </c>
      <c r="J2" s="8">
        <v>0</v>
      </c>
      <c r="K2" s="8">
        <v>0</v>
      </c>
      <c r="L2" s="8">
        <v>0</v>
      </c>
      <c r="M2" s="8">
        <v>0</v>
      </c>
      <c r="N2" s="8">
        <v>0</v>
      </c>
      <c r="O2" s="8">
        <v>0</v>
      </c>
      <c r="P2" s="8">
        <v>0</v>
      </c>
    </row>
    <row r="4" spans="2:17" x14ac:dyDescent="0.25">
      <c r="C4" s="1" t="s">
        <v>3</v>
      </c>
    </row>
    <row r="5" spans="2:17" x14ac:dyDescent="0.25">
      <c r="B5" s="2" t="s">
        <v>21</v>
      </c>
      <c r="C5" s="9" t="str">
        <f t="array" ref="C5:P5">TRANSPOSE('Cat_YET List'!B3:B16)</f>
        <v>EQ.RMS.ELD.2</v>
      </c>
      <c r="D5" s="9" t="str">
        <v>EQ.RMS.ELD.4</v>
      </c>
      <c r="E5" s="9" t="str">
        <v>EQFF.RMS.ELD</v>
      </c>
      <c r="F5" s="9" t="str">
        <v>HULT.RMS.ELD</v>
      </c>
      <c r="G5" s="9" t="str">
        <v>HULT.RMS.ELD.3</v>
      </c>
      <c r="H5" s="9" t="str">
        <v>HULT.RMS.ELD.4</v>
      </c>
      <c r="I5" s="9" t="str">
        <v>SCS.RMS.ELD</v>
      </c>
      <c r="J5" s="9" t="str">
        <v>SCS.RMS.ELD.2</v>
      </c>
      <c r="K5" s="9" t="str">
        <v>SCS.RMS.ELD.3</v>
      </c>
      <c r="L5" s="11" t="str">
        <v>SCS.RMS.ELD.4</v>
      </c>
      <c r="M5" s="11" t="str">
        <v>NonStandardAuto_HU</v>
      </c>
      <c r="N5" s="11" t="str">
        <v>NonStandardAuto_SCS</v>
      </c>
      <c r="O5" s="11" t="str">
        <v>WC_EQ.1</v>
      </c>
      <c r="P5" s="11" t="str">
        <v>WC_EQ.2</v>
      </c>
      <c r="Q5" s="12"/>
    </row>
    <row r="6" spans="2:17" x14ac:dyDescent="0.25">
      <c r="B6" s="10">
        <v>1</v>
      </c>
      <c r="C6" s="16"/>
      <c r="D6" s="16"/>
      <c r="E6" s="16"/>
      <c r="F6" s="16"/>
      <c r="G6" s="16"/>
      <c r="H6" s="16"/>
      <c r="I6" s="16"/>
      <c r="J6" s="16"/>
      <c r="K6" s="16"/>
      <c r="L6" s="18"/>
      <c r="M6" s="18"/>
      <c r="N6" s="18"/>
      <c r="O6" s="18"/>
      <c r="P6" s="18"/>
      <c r="Q6" s="12"/>
    </row>
    <row r="7" spans="2:17" x14ac:dyDescent="0.25">
      <c r="B7" s="10">
        <f>+B6+1</f>
        <v>2</v>
      </c>
      <c r="C7" s="16"/>
      <c r="D7" s="16"/>
      <c r="E7" s="16"/>
      <c r="F7" s="16"/>
      <c r="G7" s="16"/>
      <c r="H7" s="16"/>
      <c r="I7" s="16"/>
      <c r="J7" s="16"/>
      <c r="K7" s="16"/>
      <c r="L7" s="18"/>
      <c r="M7" s="18"/>
      <c r="N7" s="18"/>
      <c r="O7" s="18"/>
      <c r="P7" s="18"/>
      <c r="Q7" s="12"/>
    </row>
    <row r="8" spans="2:17" x14ac:dyDescent="0.25">
      <c r="B8" s="10">
        <f t="shared" ref="B8:B16" si="0">+B7+1</f>
        <v>3</v>
      </c>
      <c r="C8" s="16"/>
      <c r="D8" s="16"/>
      <c r="E8" s="16"/>
      <c r="F8" s="16"/>
      <c r="G8" s="16"/>
      <c r="H8" s="16"/>
      <c r="I8" s="16"/>
      <c r="J8" s="16"/>
      <c r="K8" s="16"/>
      <c r="L8" s="18"/>
      <c r="M8" s="18"/>
      <c r="N8" s="18"/>
      <c r="O8" s="18"/>
      <c r="P8" s="18"/>
      <c r="Q8" s="12"/>
    </row>
    <row r="9" spans="2:17" x14ac:dyDescent="0.25">
      <c r="B9" s="10">
        <f t="shared" si="0"/>
        <v>4</v>
      </c>
      <c r="C9" s="16"/>
      <c r="D9" s="16"/>
      <c r="E9" s="16"/>
      <c r="F9" s="16"/>
      <c r="G9" s="16"/>
      <c r="H9" s="16"/>
      <c r="I9" s="16"/>
      <c r="J9" s="16"/>
      <c r="K9" s="16"/>
      <c r="L9" s="18"/>
      <c r="M9" s="18"/>
      <c r="N9" s="18"/>
      <c r="O9" s="18"/>
      <c r="P9" s="18"/>
      <c r="Q9" s="12"/>
    </row>
    <row r="10" spans="2:17" x14ac:dyDescent="0.25">
      <c r="B10" s="10">
        <f t="shared" si="0"/>
        <v>5</v>
      </c>
      <c r="C10" s="16"/>
      <c r="D10" s="16"/>
      <c r="E10" s="16"/>
      <c r="F10" s="16"/>
      <c r="G10" s="16"/>
      <c r="H10" s="16"/>
      <c r="I10" s="16"/>
      <c r="J10" s="16"/>
      <c r="K10" s="16"/>
      <c r="L10" s="18"/>
      <c r="M10" s="18"/>
      <c r="N10" s="18"/>
      <c r="O10" s="18"/>
      <c r="P10" s="18"/>
      <c r="Q10" s="12"/>
    </row>
    <row r="11" spans="2:17" x14ac:dyDescent="0.25">
      <c r="B11" s="10">
        <f t="shared" si="0"/>
        <v>6</v>
      </c>
      <c r="C11" s="16"/>
      <c r="D11" s="16"/>
      <c r="E11" s="16"/>
      <c r="F11" s="16"/>
      <c r="G11" s="16"/>
      <c r="H11" s="16"/>
      <c r="I11" s="16"/>
      <c r="J11" s="16"/>
      <c r="K11" s="16"/>
      <c r="L11" s="18"/>
      <c r="M11" s="18"/>
      <c r="N11" s="18"/>
      <c r="O11" s="18"/>
      <c r="P11" s="18"/>
      <c r="Q11" s="12"/>
    </row>
    <row r="12" spans="2:17" x14ac:dyDescent="0.25">
      <c r="B12" s="10">
        <f t="shared" si="0"/>
        <v>7</v>
      </c>
      <c r="C12" s="16"/>
      <c r="D12" s="16"/>
      <c r="E12" s="16"/>
      <c r="F12" s="16"/>
      <c r="G12" s="16"/>
      <c r="H12" s="16"/>
      <c r="I12" s="16"/>
      <c r="J12" s="16"/>
      <c r="K12" s="16"/>
      <c r="L12" s="18"/>
      <c r="M12" s="18"/>
      <c r="N12" s="18"/>
      <c r="O12" s="18"/>
      <c r="P12" s="18"/>
      <c r="Q12" s="12"/>
    </row>
    <row r="13" spans="2:17" x14ac:dyDescent="0.25">
      <c r="B13" s="10">
        <f t="shared" si="0"/>
        <v>8</v>
      </c>
      <c r="C13" s="16"/>
      <c r="D13" s="16"/>
      <c r="E13" s="16"/>
      <c r="F13" s="16"/>
      <c r="G13" s="16"/>
      <c r="H13" s="16"/>
      <c r="I13" s="16"/>
      <c r="J13" s="16"/>
      <c r="K13" s="16"/>
      <c r="L13" s="18"/>
      <c r="M13" s="18"/>
      <c r="N13" s="18"/>
      <c r="O13" s="18"/>
      <c r="P13" s="18"/>
      <c r="Q13" s="12"/>
    </row>
    <row r="14" spans="2:17" x14ac:dyDescent="0.25">
      <c r="B14" s="10">
        <f t="shared" si="0"/>
        <v>9</v>
      </c>
      <c r="C14" s="16"/>
      <c r="D14" s="16"/>
      <c r="E14" s="16"/>
      <c r="F14" s="16"/>
      <c r="G14" s="16"/>
      <c r="H14" s="16"/>
      <c r="I14" s="16"/>
      <c r="J14" s="16"/>
      <c r="K14" s="16"/>
      <c r="L14" s="18"/>
      <c r="M14" s="18"/>
      <c r="N14" s="18"/>
      <c r="O14" s="18"/>
      <c r="P14" s="18"/>
      <c r="Q14" s="12"/>
    </row>
    <row r="15" spans="2:17" x14ac:dyDescent="0.25">
      <c r="B15" s="10">
        <f t="shared" si="0"/>
        <v>10</v>
      </c>
      <c r="C15" s="16"/>
      <c r="D15" s="16"/>
      <c r="E15" s="16"/>
      <c r="F15" s="16"/>
      <c r="G15" s="16"/>
      <c r="H15" s="16"/>
      <c r="I15" s="16"/>
      <c r="J15" s="16"/>
      <c r="K15" s="16"/>
      <c r="L15" s="18"/>
      <c r="M15" s="18"/>
      <c r="N15" s="18"/>
      <c r="O15" s="18"/>
      <c r="P15" s="18"/>
      <c r="Q15" s="12"/>
    </row>
    <row r="16" spans="2:17" x14ac:dyDescent="0.25">
      <c r="B16" s="10">
        <f t="shared" si="0"/>
        <v>11</v>
      </c>
      <c r="C16" s="16"/>
      <c r="D16" s="16"/>
      <c r="E16" s="16"/>
      <c r="F16" s="16"/>
      <c r="G16" s="16"/>
      <c r="H16" s="16"/>
      <c r="I16" s="16"/>
      <c r="J16" s="16"/>
      <c r="K16" s="16"/>
      <c r="L16" s="18"/>
      <c r="M16" s="18"/>
      <c r="N16" s="18"/>
      <c r="O16" s="18"/>
      <c r="P16" s="18"/>
      <c r="Q16" s="12"/>
    </row>
    <row r="17" spans="2:17" x14ac:dyDescent="0.25">
      <c r="B17" s="10"/>
      <c r="C17" s="16"/>
      <c r="D17" s="16"/>
      <c r="E17" s="16"/>
      <c r="F17" s="16"/>
      <c r="G17" s="16"/>
      <c r="H17" s="16"/>
      <c r="I17" s="16"/>
      <c r="J17" s="16"/>
      <c r="K17" s="16"/>
      <c r="L17" s="18"/>
      <c r="M17" s="18"/>
      <c r="N17" s="18"/>
      <c r="O17" s="18"/>
      <c r="P17" s="18"/>
      <c r="Q17" s="12"/>
    </row>
    <row r="18" spans="2:17" x14ac:dyDescent="0.25">
      <c r="B18" s="10"/>
      <c r="C18" s="16"/>
      <c r="D18" s="16"/>
      <c r="E18" s="16"/>
      <c r="F18" s="16"/>
      <c r="G18" s="16"/>
      <c r="H18" s="16"/>
      <c r="I18" s="16"/>
      <c r="J18" s="16"/>
      <c r="K18" s="16"/>
      <c r="L18" s="18"/>
      <c r="M18" s="18"/>
      <c r="N18" s="18"/>
      <c r="O18" s="18"/>
      <c r="P18" s="18"/>
      <c r="Q18" s="12"/>
    </row>
    <row r="19" spans="2:17" x14ac:dyDescent="0.25">
      <c r="B19" s="10"/>
      <c r="C19" s="16"/>
      <c r="D19" s="16"/>
      <c r="E19" s="16"/>
      <c r="F19" s="16"/>
      <c r="G19" s="16"/>
      <c r="H19" s="16"/>
      <c r="I19" s="16"/>
      <c r="J19" s="16"/>
      <c r="K19" s="16"/>
      <c r="L19" s="18"/>
      <c r="M19" s="18"/>
      <c r="N19" s="18"/>
      <c r="O19" s="18"/>
      <c r="P19" s="18"/>
      <c r="Q19" s="12"/>
    </row>
    <row r="20" spans="2:17" x14ac:dyDescent="0.25">
      <c r="B20" s="10"/>
      <c r="C20" s="16"/>
      <c r="D20" s="16"/>
      <c r="E20" s="16"/>
      <c r="F20" s="16"/>
      <c r="G20" s="16"/>
      <c r="H20" s="16"/>
      <c r="I20" s="16"/>
      <c r="J20" s="16"/>
      <c r="K20" s="16"/>
      <c r="L20" s="18"/>
      <c r="M20" s="18"/>
      <c r="N20" s="18"/>
      <c r="O20" s="18"/>
      <c r="P20" s="18"/>
      <c r="Q20" s="12"/>
    </row>
    <row r="21" spans="2:17" x14ac:dyDescent="0.25">
      <c r="B21" s="10"/>
      <c r="C21" s="16"/>
      <c r="D21" s="16"/>
      <c r="E21" s="16"/>
      <c r="F21" s="16"/>
      <c r="G21" s="16"/>
      <c r="H21" s="16"/>
      <c r="I21" s="16"/>
      <c r="J21" s="16"/>
      <c r="K21" s="16"/>
      <c r="L21" s="18"/>
      <c r="M21" s="18"/>
      <c r="N21" s="18"/>
      <c r="O21" s="18"/>
      <c r="P21" s="18"/>
      <c r="Q21" s="12"/>
    </row>
    <row r="22" spans="2:17" x14ac:dyDescent="0.25">
      <c r="B22" s="10"/>
      <c r="C22" s="16"/>
      <c r="D22" s="16"/>
      <c r="E22" s="16"/>
      <c r="F22" s="16"/>
      <c r="G22" s="16"/>
      <c r="H22" s="16"/>
      <c r="I22" s="16"/>
      <c r="J22" s="16"/>
      <c r="K22" s="16"/>
      <c r="L22" s="18"/>
      <c r="M22" s="18"/>
      <c r="N22" s="18"/>
      <c r="O22" s="18"/>
      <c r="P22" s="18"/>
      <c r="Q22" s="12"/>
    </row>
    <row r="23" spans="2:17" x14ac:dyDescent="0.25">
      <c r="B23" s="10"/>
      <c r="C23" s="16"/>
      <c r="D23" s="16"/>
      <c r="E23" s="16"/>
      <c r="F23" s="16"/>
      <c r="G23" s="16"/>
      <c r="H23" s="16"/>
      <c r="I23" s="16"/>
      <c r="J23" s="16"/>
      <c r="K23" s="16"/>
      <c r="L23" s="18"/>
      <c r="M23" s="18"/>
      <c r="N23" s="18"/>
      <c r="O23" s="18"/>
      <c r="P23" s="18"/>
      <c r="Q23" s="12"/>
    </row>
    <row r="24" spans="2:17" x14ac:dyDescent="0.25">
      <c r="B24" s="10"/>
      <c r="C24" s="16"/>
      <c r="D24" s="16"/>
      <c r="E24" s="16"/>
      <c r="F24" s="16"/>
      <c r="G24" s="16"/>
      <c r="H24" s="16"/>
      <c r="I24" s="16"/>
      <c r="J24" s="16"/>
      <c r="K24" s="16"/>
      <c r="L24" s="18"/>
      <c r="M24" s="18"/>
      <c r="N24" s="18"/>
      <c r="O24" s="18"/>
      <c r="P24" s="18"/>
      <c r="Q24" s="12"/>
    </row>
    <row r="25" spans="2:17" x14ac:dyDescent="0.25">
      <c r="B25" s="10"/>
      <c r="C25" s="16"/>
      <c r="D25" s="16"/>
      <c r="E25" s="16"/>
      <c r="F25" s="16"/>
      <c r="G25" s="16"/>
      <c r="H25" s="16"/>
      <c r="I25" s="16"/>
      <c r="J25" s="16"/>
      <c r="K25" s="16"/>
      <c r="L25" s="18"/>
      <c r="M25" s="18"/>
      <c r="N25" s="18"/>
      <c r="O25" s="18"/>
      <c r="P25" s="18"/>
      <c r="Q25" s="12"/>
    </row>
    <row r="26" spans="2:17" x14ac:dyDescent="0.25">
      <c r="B26" s="10"/>
      <c r="C26" s="16"/>
      <c r="D26" s="16"/>
      <c r="E26" s="16"/>
      <c r="F26" s="16"/>
      <c r="G26" s="16"/>
      <c r="H26" s="16"/>
      <c r="I26" s="16"/>
      <c r="J26" s="16"/>
      <c r="K26" s="16"/>
      <c r="L26" s="18"/>
      <c r="M26" s="18"/>
      <c r="N26" s="18"/>
      <c r="O26" s="18"/>
      <c r="P26" s="18"/>
      <c r="Q26" s="12"/>
    </row>
    <row r="27" spans="2:17" x14ac:dyDescent="0.25">
      <c r="B27" s="10"/>
      <c r="C27" s="16"/>
      <c r="D27" s="16"/>
      <c r="E27" s="16"/>
      <c r="F27" s="16"/>
      <c r="G27" s="16"/>
      <c r="H27" s="16"/>
      <c r="I27" s="16"/>
      <c r="J27" s="16"/>
      <c r="K27" s="16"/>
      <c r="L27" s="18"/>
      <c r="M27" s="18"/>
      <c r="N27" s="18"/>
      <c r="O27" s="18"/>
      <c r="P27" s="18"/>
      <c r="Q27" s="12"/>
    </row>
    <row r="28" spans="2:17" x14ac:dyDescent="0.25">
      <c r="B28" s="10"/>
      <c r="C28" s="16"/>
      <c r="D28" s="16"/>
      <c r="E28" s="16"/>
      <c r="F28" s="16"/>
      <c r="G28" s="16"/>
      <c r="H28" s="16"/>
      <c r="I28" s="16"/>
      <c r="J28" s="16"/>
      <c r="K28" s="16"/>
      <c r="L28" s="18"/>
      <c r="M28" s="18"/>
      <c r="N28" s="18"/>
      <c r="O28" s="18"/>
      <c r="P28" s="18"/>
      <c r="Q28" s="12"/>
    </row>
    <row r="29" spans="2:17" x14ac:dyDescent="0.25">
      <c r="B29" s="10"/>
      <c r="C29" s="16"/>
      <c r="D29" s="16"/>
      <c r="E29" s="16"/>
      <c r="F29" s="16"/>
      <c r="G29" s="16"/>
      <c r="H29" s="16"/>
      <c r="I29" s="16"/>
      <c r="J29" s="16"/>
      <c r="K29" s="16"/>
      <c r="L29" s="18"/>
      <c r="M29" s="18"/>
      <c r="N29" s="18"/>
      <c r="O29" s="18"/>
      <c r="P29" s="18"/>
      <c r="Q29" s="12"/>
    </row>
    <row r="30" spans="2:17" x14ac:dyDescent="0.25">
      <c r="B30" s="10"/>
      <c r="C30" s="16"/>
      <c r="D30" s="16"/>
      <c r="E30" s="16"/>
      <c r="F30" s="16"/>
      <c r="G30" s="16"/>
      <c r="H30" s="16"/>
      <c r="I30" s="16"/>
      <c r="J30" s="16"/>
      <c r="K30" s="16"/>
      <c r="L30" s="18"/>
      <c r="M30" s="18"/>
      <c r="N30" s="18"/>
      <c r="O30" s="18"/>
      <c r="P30" s="18"/>
      <c r="Q30" s="12"/>
    </row>
    <row r="31" spans="2:17" x14ac:dyDescent="0.25">
      <c r="B31" s="10"/>
      <c r="C31" s="16"/>
      <c r="D31" s="16"/>
      <c r="E31" s="16"/>
      <c r="F31" s="16"/>
      <c r="G31" s="16"/>
      <c r="H31" s="16"/>
      <c r="I31" s="16"/>
      <c r="J31" s="16"/>
      <c r="K31" s="16"/>
      <c r="L31" s="18"/>
      <c r="M31" s="18"/>
      <c r="N31" s="18"/>
      <c r="O31" s="18"/>
      <c r="P31" s="18"/>
      <c r="Q31" s="12"/>
    </row>
    <row r="32" spans="2:17" x14ac:dyDescent="0.25">
      <c r="B32" s="10"/>
      <c r="C32" s="16"/>
      <c r="D32" s="16"/>
      <c r="E32" s="16"/>
      <c r="F32" s="16"/>
      <c r="G32" s="16"/>
      <c r="H32" s="16"/>
      <c r="I32" s="16"/>
      <c r="J32" s="16"/>
      <c r="K32" s="16"/>
      <c r="L32" s="18"/>
      <c r="M32" s="18"/>
      <c r="N32" s="18"/>
      <c r="O32" s="18"/>
      <c r="P32" s="18"/>
      <c r="Q32" s="12"/>
    </row>
    <row r="33" spans="2:17" x14ac:dyDescent="0.25">
      <c r="B33" s="10"/>
      <c r="C33" s="16"/>
      <c r="D33" s="16"/>
      <c r="E33" s="16"/>
      <c r="F33" s="16"/>
      <c r="G33" s="16"/>
      <c r="H33" s="16"/>
      <c r="I33" s="16"/>
      <c r="J33" s="16"/>
      <c r="K33" s="16"/>
      <c r="L33" s="18"/>
      <c r="M33" s="18"/>
      <c r="N33" s="18"/>
      <c r="O33" s="18"/>
      <c r="P33" s="18"/>
      <c r="Q33" s="12"/>
    </row>
    <row r="34" spans="2:17" x14ac:dyDescent="0.25">
      <c r="B34" s="10"/>
      <c r="C34" s="16"/>
      <c r="D34" s="16"/>
      <c r="E34" s="16"/>
      <c r="F34" s="16"/>
      <c r="G34" s="16"/>
      <c r="H34" s="16"/>
      <c r="I34" s="16"/>
      <c r="J34" s="16"/>
      <c r="K34" s="16"/>
      <c r="L34" s="18"/>
      <c r="M34" s="18"/>
      <c r="N34" s="18"/>
      <c r="O34" s="18"/>
      <c r="P34" s="18"/>
      <c r="Q34" s="12"/>
    </row>
    <row r="35" spans="2:17" x14ac:dyDescent="0.25">
      <c r="B35" s="10"/>
      <c r="C35" s="16"/>
      <c r="D35" s="16"/>
      <c r="E35" s="16"/>
      <c r="F35" s="16"/>
      <c r="G35" s="16"/>
      <c r="H35" s="16"/>
      <c r="I35" s="16"/>
      <c r="J35" s="16"/>
      <c r="K35" s="16"/>
      <c r="L35" s="18"/>
      <c r="M35" s="18"/>
      <c r="N35" s="18"/>
      <c r="O35" s="18"/>
      <c r="P35" s="18"/>
      <c r="Q35" s="12"/>
    </row>
    <row r="36" spans="2:17" x14ac:dyDescent="0.25">
      <c r="B36" s="10"/>
      <c r="C36" s="16"/>
      <c r="D36" s="16"/>
      <c r="E36" s="16"/>
      <c r="F36" s="16"/>
      <c r="G36" s="16"/>
      <c r="H36" s="16"/>
      <c r="I36" s="16"/>
      <c r="J36" s="16"/>
      <c r="K36" s="16"/>
      <c r="L36" s="18"/>
      <c r="M36" s="18"/>
      <c r="N36" s="18"/>
      <c r="O36" s="18"/>
      <c r="P36" s="18"/>
      <c r="Q36" s="12"/>
    </row>
    <row r="37" spans="2:17" x14ac:dyDescent="0.25">
      <c r="B37" s="10"/>
      <c r="C37" s="16"/>
      <c r="D37" s="16"/>
      <c r="E37" s="16"/>
      <c r="F37" s="16"/>
      <c r="G37" s="16"/>
      <c r="H37" s="16"/>
      <c r="I37" s="16"/>
      <c r="J37" s="16"/>
      <c r="K37" s="16"/>
      <c r="L37" s="18"/>
      <c r="M37" s="18"/>
      <c r="N37" s="18"/>
      <c r="O37" s="18"/>
      <c r="P37" s="18"/>
      <c r="Q37" s="12"/>
    </row>
    <row r="38" spans="2:17" x14ac:dyDescent="0.25">
      <c r="B38" s="10"/>
      <c r="C38" s="16"/>
      <c r="D38" s="16"/>
      <c r="E38" s="16"/>
      <c r="F38" s="16"/>
      <c r="G38" s="16"/>
      <c r="H38" s="16"/>
      <c r="I38" s="16"/>
      <c r="J38" s="16"/>
      <c r="K38" s="16"/>
      <c r="L38" s="18"/>
      <c r="M38" s="18"/>
      <c r="N38" s="18"/>
      <c r="O38" s="18"/>
      <c r="P38" s="18"/>
      <c r="Q38" s="12"/>
    </row>
    <row r="39" spans="2:17" x14ac:dyDescent="0.25">
      <c r="B39" s="10"/>
      <c r="C39" s="16"/>
      <c r="D39" s="16"/>
      <c r="E39" s="16"/>
      <c r="F39" s="16"/>
      <c r="G39" s="16"/>
      <c r="H39" s="16"/>
      <c r="I39" s="16"/>
      <c r="J39" s="16"/>
      <c r="K39" s="16"/>
      <c r="L39" s="18"/>
      <c r="M39" s="18"/>
      <c r="N39" s="18"/>
      <c r="O39" s="18"/>
      <c r="P39" s="18"/>
      <c r="Q39" s="12"/>
    </row>
    <row r="40" spans="2:17" x14ac:dyDescent="0.25">
      <c r="B40" s="10"/>
      <c r="C40" s="16"/>
      <c r="D40" s="16"/>
      <c r="E40" s="16"/>
      <c r="F40" s="16"/>
      <c r="G40" s="16"/>
      <c r="H40" s="16"/>
      <c r="I40" s="16"/>
      <c r="J40" s="16"/>
      <c r="K40" s="16"/>
      <c r="L40" s="18"/>
      <c r="M40" s="18"/>
      <c r="N40" s="18"/>
      <c r="O40" s="18"/>
      <c r="P40" s="18"/>
      <c r="Q40" s="12"/>
    </row>
    <row r="41" spans="2:17" x14ac:dyDescent="0.25">
      <c r="B41" s="10"/>
      <c r="C41" s="16"/>
      <c r="D41" s="16"/>
      <c r="E41" s="16"/>
      <c r="F41" s="16"/>
      <c r="G41" s="16"/>
      <c r="H41" s="16"/>
      <c r="I41" s="16"/>
      <c r="J41" s="16"/>
      <c r="K41" s="16"/>
      <c r="L41" s="18"/>
      <c r="M41" s="18"/>
      <c r="N41" s="18"/>
      <c r="O41" s="18"/>
      <c r="P41" s="18"/>
      <c r="Q41" s="12"/>
    </row>
    <row r="42" spans="2:17" x14ac:dyDescent="0.25">
      <c r="B42" s="10"/>
      <c r="C42" s="16"/>
      <c r="D42" s="16"/>
      <c r="E42" s="16"/>
      <c r="F42" s="16"/>
      <c r="G42" s="16"/>
      <c r="H42" s="16"/>
      <c r="I42" s="16"/>
      <c r="J42" s="16"/>
      <c r="K42" s="16"/>
      <c r="L42" s="18"/>
      <c r="M42" s="18"/>
      <c r="N42" s="18"/>
      <c r="O42" s="18"/>
      <c r="P42" s="18"/>
      <c r="Q42" s="12"/>
    </row>
    <row r="43" spans="2:17" x14ac:dyDescent="0.25">
      <c r="B43" s="10"/>
      <c r="C43" s="16"/>
      <c r="D43" s="16"/>
      <c r="E43" s="16"/>
      <c r="F43" s="16"/>
      <c r="G43" s="16"/>
      <c r="H43" s="16"/>
      <c r="I43" s="16"/>
      <c r="J43" s="16"/>
      <c r="K43" s="16"/>
      <c r="L43" s="18"/>
      <c r="M43" s="18"/>
      <c r="N43" s="18"/>
      <c r="O43" s="18"/>
      <c r="P43" s="18"/>
      <c r="Q43" s="12"/>
    </row>
    <row r="44" spans="2:17" x14ac:dyDescent="0.25">
      <c r="B44" s="10"/>
      <c r="C44" s="16"/>
      <c r="D44" s="16"/>
      <c r="E44" s="16"/>
      <c r="F44" s="16"/>
      <c r="G44" s="16"/>
      <c r="H44" s="16"/>
      <c r="I44" s="16"/>
      <c r="J44" s="16"/>
      <c r="K44" s="16"/>
      <c r="L44" s="18"/>
      <c r="M44" s="18"/>
      <c r="N44" s="18"/>
      <c r="O44" s="18"/>
      <c r="P44" s="18"/>
      <c r="Q44" s="12"/>
    </row>
    <row r="45" spans="2:17" x14ac:dyDescent="0.25">
      <c r="B45" s="10"/>
      <c r="C45" s="16"/>
      <c r="D45" s="16"/>
      <c r="E45" s="16"/>
      <c r="F45" s="16"/>
      <c r="G45" s="16"/>
      <c r="H45" s="16"/>
      <c r="I45" s="16"/>
      <c r="J45" s="16"/>
      <c r="K45" s="16"/>
      <c r="L45" s="18"/>
      <c r="M45" s="18"/>
      <c r="N45" s="18"/>
      <c r="O45" s="18"/>
      <c r="P45" s="18"/>
      <c r="Q45" s="12"/>
    </row>
    <row r="46" spans="2:17" x14ac:dyDescent="0.25">
      <c r="B46" s="10"/>
      <c r="C46" s="16"/>
      <c r="D46" s="16"/>
      <c r="E46" s="16"/>
      <c r="F46" s="16"/>
      <c r="G46" s="16"/>
      <c r="H46" s="16"/>
      <c r="I46" s="16"/>
      <c r="J46" s="16"/>
      <c r="K46" s="16"/>
      <c r="L46" s="18"/>
      <c r="M46" s="18"/>
      <c r="N46" s="18"/>
      <c r="O46" s="18"/>
      <c r="P46" s="18"/>
      <c r="Q46" s="12"/>
    </row>
    <row r="47" spans="2:17" x14ac:dyDescent="0.25">
      <c r="B47" s="10"/>
      <c r="C47" s="16"/>
      <c r="D47" s="16"/>
      <c r="E47" s="16"/>
      <c r="F47" s="16"/>
      <c r="G47" s="16"/>
      <c r="H47" s="16"/>
      <c r="I47" s="16"/>
      <c r="J47" s="16"/>
      <c r="K47" s="16"/>
      <c r="L47" s="18"/>
      <c r="M47" s="18"/>
      <c r="N47" s="18"/>
      <c r="O47" s="18"/>
      <c r="P47" s="18"/>
      <c r="Q47" s="12"/>
    </row>
    <row r="48" spans="2:17" x14ac:dyDescent="0.25">
      <c r="B48" s="10"/>
      <c r="C48" s="16"/>
      <c r="D48" s="16"/>
      <c r="E48" s="16"/>
      <c r="F48" s="16"/>
      <c r="G48" s="16"/>
      <c r="H48" s="16"/>
      <c r="I48" s="16"/>
      <c r="J48" s="16"/>
      <c r="K48" s="16"/>
      <c r="L48" s="18"/>
      <c r="M48" s="18"/>
      <c r="N48" s="18"/>
      <c r="O48" s="18"/>
      <c r="P48" s="18"/>
      <c r="Q48" s="12"/>
    </row>
    <row r="49" spans="2:17" x14ac:dyDescent="0.25">
      <c r="B49" s="10"/>
      <c r="C49" s="16"/>
      <c r="D49" s="16"/>
      <c r="E49" s="16"/>
      <c r="F49" s="16"/>
      <c r="G49" s="16"/>
      <c r="H49" s="16"/>
      <c r="I49" s="16"/>
      <c r="J49" s="16"/>
      <c r="K49" s="16"/>
      <c r="L49" s="18"/>
      <c r="M49" s="18"/>
      <c r="N49" s="18"/>
      <c r="O49" s="18"/>
      <c r="P49" s="18"/>
      <c r="Q49" s="12"/>
    </row>
    <row r="50" spans="2:17" x14ac:dyDescent="0.25">
      <c r="B50" s="10"/>
      <c r="C50" s="16"/>
      <c r="D50" s="16"/>
      <c r="E50" s="16"/>
      <c r="F50" s="16"/>
      <c r="G50" s="16"/>
      <c r="H50" s="16"/>
      <c r="I50" s="16"/>
      <c r="J50" s="16"/>
      <c r="K50" s="16"/>
      <c r="L50" s="18"/>
      <c r="M50" s="18"/>
      <c r="N50" s="18"/>
      <c r="O50" s="18"/>
      <c r="P50" s="18"/>
      <c r="Q50" s="12"/>
    </row>
    <row r="51" spans="2:17" x14ac:dyDescent="0.25">
      <c r="B51" s="10"/>
      <c r="C51" s="16"/>
      <c r="D51" s="16"/>
      <c r="E51" s="16"/>
      <c r="F51" s="16"/>
      <c r="G51" s="16"/>
      <c r="H51" s="16"/>
      <c r="I51" s="16"/>
      <c r="J51" s="16"/>
      <c r="K51" s="16"/>
      <c r="L51" s="18"/>
      <c r="M51" s="18"/>
      <c r="N51" s="18"/>
      <c r="O51" s="18"/>
      <c r="P51" s="18"/>
      <c r="Q51" s="12"/>
    </row>
    <row r="52" spans="2:17" x14ac:dyDescent="0.25">
      <c r="B52" s="10"/>
      <c r="C52" s="16"/>
      <c r="D52" s="16"/>
      <c r="E52" s="16"/>
      <c r="F52" s="16"/>
      <c r="G52" s="16"/>
      <c r="H52" s="16"/>
      <c r="I52" s="16"/>
      <c r="J52" s="16"/>
      <c r="K52" s="16"/>
      <c r="L52" s="18"/>
      <c r="M52" s="18"/>
      <c r="N52" s="18"/>
      <c r="O52" s="18"/>
      <c r="P52" s="18"/>
      <c r="Q52" s="12"/>
    </row>
    <row r="53" spans="2:17" x14ac:dyDescent="0.25">
      <c r="B53" s="10"/>
      <c r="C53" s="16"/>
      <c r="D53" s="16"/>
      <c r="E53" s="16"/>
      <c r="F53" s="16"/>
      <c r="G53" s="16"/>
      <c r="H53" s="16"/>
      <c r="I53" s="16"/>
      <c r="J53" s="16"/>
      <c r="K53" s="16"/>
      <c r="L53" s="18"/>
      <c r="M53" s="18"/>
      <c r="N53" s="18"/>
      <c r="O53" s="18"/>
      <c r="P53" s="18"/>
      <c r="Q53" s="12"/>
    </row>
    <row r="54" spans="2:17" x14ac:dyDescent="0.25">
      <c r="B54" s="10"/>
      <c r="C54" s="16"/>
      <c r="D54" s="16"/>
      <c r="E54" s="16"/>
      <c r="F54" s="16"/>
      <c r="G54" s="16"/>
      <c r="H54" s="16"/>
      <c r="I54" s="16"/>
      <c r="J54" s="16"/>
      <c r="K54" s="16"/>
      <c r="L54" s="18"/>
      <c r="M54" s="18"/>
      <c r="N54" s="18"/>
      <c r="O54" s="18"/>
      <c r="P54" s="18"/>
      <c r="Q54" s="12"/>
    </row>
    <row r="55" spans="2:17" x14ac:dyDescent="0.25">
      <c r="B55" s="10"/>
      <c r="C55" s="16"/>
      <c r="D55" s="16"/>
      <c r="E55" s="16"/>
      <c r="F55" s="16"/>
      <c r="G55" s="16"/>
      <c r="H55" s="16"/>
      <c r="I55" s="16"/>
      <c r="J55" s="16"/>
      <c r="K55" s="16"/>
      <c r="L55" s="18"/>
      <c r="M55" s="18"/>
      <c r="N55" s="18"/>
      <c r="O55" s="18"/>
      <c r="P55" s="18"/>
      <c r="Q55" s="12"/>
    </row>
    <row r="56" spans="2:17" x14ac:dyDescent="0.25">
      <c r="B56" s="10"/>
      <c r="C56" s="16"/>
      <c r="D56" s="16"/>
      <c r="E56" s="16"/>
      <c r="F56" s="16"/>
      <c r="G56" s="16"/>
      <c r="H56" s="16"/>
      <c r="I56" s="16"/>
      <c r="J56" s="16"/>
      <c r="K56" s="16"/>
      <c r="L56" s="18"/>
      <c r="M56" s="18"/>
      <c r="N56" s="18"/>
      <c r="O56" s="18"/>
      <c r="P56" s="18"/>
      <c r="Q56" s="12"/>
    </row>
    <row r="57" spans="2:17" x14ac:dyDescent="0.25">
      <c r="B57" s="10"/>
      <c r="C57" s="16"/>
      <c r="D57" s="16"/>
      <c r="E57" s="16"/>
      <c r="F57" s="16"/>
      <c r="G57" s="16"/>
      <c r="H57" s="16"/>
      <c r="I57" s="16"/>
      <c r="J57" s="16"/>
      <c r="K57" s="16"/>
      <c r="L57" s="18"/>
      <c r="M57" s="18"/>
      <c r="N57" s="18"/>
      <c r="O57" s="18"/>
      <c r="P57" s="18"/>
      <c r="Q57" s="12"/>
    </row>
    <row r="58" spans="2:17" x14ac:dyDescent="0.25">
      <c r="B58" s="10"/>
      <c r="C58" s="16"/>
      <c r="D58" s="16"/>
      <c r="E58" s="16"/>
      <c r="F58" s="16"/>
      <c r="G58" s="16"/>
      <c r="H58" s="16"/>
      <c r="I58" s="16"/>
      <c r="J58" s="16"/>
      <c r="K58" s="16"/>
      <c r="L58" s="18"/>
      <c r="M58" s="18"/>
      <c r="N58" s="18"/>
      <c r="O58" s="18"/>
      <c r="P58" s="18"/>
      <c r="Q58" s="12"/>
    </row>
    <row r="59" spans="2:17" x14ac:dyDescent="0.25">
      <c r="B59" s="10"/>
      <c r="C59" s="16"/>
      <c r="D59" s="16"/>
      <c r="E59" s="16"/>
      <c r="F59" s="16"/>
      <c r="G59" s="16"/>
      <c r="H59" s="16"/>
      <c r="I59" s="16"/>
      <c r="J59" s="16"/>
      <c r="K59" s="16"/>
      <c r="L59" s="18"/>
      <c r="M59" s="18"/>
      <c r="N59" s="18"/>
      <c r="O59" s="18"/>
      <c r="P59" s="18"/>
      <c r="Q59" s="12"/>
    </row>
    <row r="60" spans="2:17" x14ac:dyDescent="0.25">
      <c r="B60" s="10"/>
      <c r="C60" s="16"/>
      <c r="D60" s="16"/>
      <c r="E60" s="16"/>
      <c r="F60" s="16"/>
      <c r="G60" s="16"/>
      <c r="H60" s="16"/>
      <c r="I60" s="16"/>
      <c r="J60" s="16"/>
      <c r="K60" s="16"/>
      <c r="L60" s="18"/>
      <c r="M60" s="18"/>
      <c r="N60" s="18"/>
      <c r="O60" s="18"/>
      <c r="P60" s="18"/>
      <c r="Q60" s="12"/>
    </row>
    <row r="61" spans="2:17" x14ac:dyDescent="0.25">
      <c r="B61" s="10"/>
      <c r="C61" s="16"/>
      <c r="D61" s="16"/>
      <c r="E61" s="16"/>
      <c r="F61" s="16"/>
      <c r="G61" s="16"/>
      <c r="H61" s="16"/>
      <c r="I61" s="16"/>
      <c r="J61" s="16"/>
      <c r="K61" s="16"/>
      <c r="L61" s="18"/>
      <c r="M61" s="18"/>
      <c r="N61" s="18"/>
      <c r="O61" s="18"/>
      <c r="P61" s="18"/>
      <c r="Q61" s="12"/>
    </row>
    <row r="62" spans="2:17" x14ac:dyDescent="0.25">
      <c r="B62" s="10"/>
      <c r="C62" s="16"/>
      <c r="D62" s="16"/>
      <c r="E62" s="16"/>
      <c r="F62" s="16"/>
      <c r="G62" s="16"/>
      <c r="H62" s="16"/>
      <c r="I62" s="16"/>
      <c r="J62" s="16"/>
      <c r="K62" s="16"/>
      <c r="L62" s="18"/>
      <c r="M62" s="18"/>
      <c r="N62" s="18"/>
      <c r="O62" s="18"/>
      <c r="P62" s="18"/>
      <c r="Q62" s="12"/>
    </row>
    <row r="63" spans="2:17" x14ac:dyDescent="0.25">
      <c r="B63" s="10"/>
      <c r="C63" s="16"/>
      <c r="D63" s="16"/>
      <c r="E63" s="16"/>
      <c r="F63" s="16"/>
      <c r="G63" s="16"/>
      <c r="H63" s="16"/>
      <c r="I63" s="16"/>
      <c r="J63" s="16"/>
      <c r="K63" s="16"/>
      <c r="L63" s="18"/>
      <c r="M63" s="18"/>
      <c r="N63" s="18"/>
      <c r="O63" s="18"/>
      <c r="P63" s="18"/>
      <c r="Q63" s="12"/>
    </row>
    <row r="64" spans="2:17" x14ac:dyDescent="0.25">
      <c r="B64" s="10"/>
      <c r="C64" s="16"/>
      <c r="D64" s="16"/>
      <c r="E64" s="16"/>
      <c r="F64" s="16"/>
      <c r="G64" s="16"/>
      <c r="H64" s="16"/>
      <c r="I64" s="16"/>
      <c r="J64" s="16"/>
      <c r="K64" s="16"/>
      <c r="L64" s="18"/>
      <c r="M64" s="18"/>
      <c r="N64" s="18"/>
      <c r="O64" s="18"/>
      <c r="P64" s="18"/>
      <c r="Q64" s="12"/>
    </row>
    <row r="65" spans="2:17" x14ac:dyDescent="0.25">
      <c r="B65" s="10"/>
      <c r="C65" s="16"/>
      <c r="D65" s="16"/>
      <c r="E65" s="16"/>
      <c r="F65" s="16"/>
      <c r="G65" s="16"/>
      <c r="H65" s="16"/>
      <c r="I65" s="16"/>
      <c r="J65" s="16"/>
      <c r="K65" s="16"/>
      <c r="L65" s="18"/>
      <c r="M65" s="18"/>
      <c r="N65" s="18"/>
      <c r="O65" s="18"/>
      <c r="P65" s="18"/>
      <c r="Q65" s="12"/>
    </row>
    <row r="66" spans="2:17" x14ac:dyDescent="0.25">
      <c r="B66" s="10"/>
      <c r="C66" s="16"/>
      <c r="D66" s="16"/>
      <c r="E66" s="16"/>
      <c r="F66" s="16"/>
      <c r="G66" s="16"/>
      <c r="H66" s="16"/>
      <c r="I66" s="16"/>
      <c r="J66" s="16"/>
      <c r="K66" s="16"/>
      <c r="L66" s="18"/>
      <c r="M66" s="18"/>
      <c r="N66" s="18"/>
      <c r="O66" s="18"/>
      <c r="P66" s="18"/>
      <c r="Q66" s="12"/>
    </row>
    <row r="67" spans="2:17" x14ac:dyDescent="0.25">
      <c r="B67" s="10"/>
      <c r="C67" s="16"/>
      <c r="D67" s="16"/>
      <c r="E67" s="16"/>
      <c r="F67" s="16"/>
      <c r="G67" s="16"/>
      <c r="H67" s="16"/>
      <c r="I67" s="16"/>
      <c r="J67" s="16"/>
      <c r="K67" s="16"/>
      <c r="L67" s="18"/>
      <c r="M67" s="18"/>
      <c r="N67" s="18"/>
      <c r="O67" s="18"/>
      <c r="P67" s="18"/>
      <c r="Q67" s="12"/>
    </row>
    <row r="68" spans="2:17" x14ac:dyDescent="0.25">
      <c r="B68" s="10"/>
      <c r="C68" s="16"/>
      <c r="D68" s="16"/>
      <c r="E68" s="16"/>
      <c r="F68" s="16"/>
      <c r="G68" s="16"/>
      <c r="H68" s="16"/>
      <c r="I68" s="16"/>
      <c r="J68" s="16"/>
      <c r="K68" s="16"/>
      <c r="L68" s="18"/>
      <c r="M68" s="18"/>
      <c r="N68" s="18"/>
      <c r="O68" s="18"/>
      <c r="P68" s="18"/>
      <c r="Q68" s="12"/>
    </row>
    <row r="69" spans="2:17" x14ac:dyDescent="0.25">
      <c r="B69" s="10"/>
      <c r="C69" s="16"/>
      <c r="D69" s="16"/>
      <c r="E69" s="16"/>
      <c r="F69" s="16"/>
      <c r="G69" s="16"/>
      <c r="H69" s="16"/>
      <c r="I69" s="16"/>
      <c r="J69" s="16"/>
      <c r="K69" s="16"/>
      <c r="L69" s="18"/>
      <c r="M69" s="18"/>
      <c r="N69" s="18"/>
      <c r="O69" s="18"/>
      <c r="P69" s="18"/>
      <c r="Q69" s="12"/>
    </row>
    <row r="70" spans="2:17" x14ac:dyDescent="0.25">
      <c r="B70" s="10"/>
      <c r="C70" s="16"/>
      <c r="D70" s="16"/>
      <c r="E70" s="16"/>
      <c r="F70" s="16"/>
      <c r="G70" s="16"/>
      <c r="H70" s="16"/>
      <c r="I70" s="16"/>
      <c r="J70" s="16"/>
      <c r="K70" s="16"/>
      <c r="L70" s="18"/>
      <c r="M70" s="18"/>
      <c r="N70" s="18"/>
      <c r="O70" s="18"/>
      <c r="P70" s="18"/>
      <c r="Q70" s="12"/>
    </row>
    <row r="71" spans="2:17" x14ac:dyDescent="0.25">
      <c r="B71" s="10"/>
      <c r="C71" s="16"/>
      <c r="D71" s="16"/>
      <c r="E71" s="16"/>
      <c r="F71" s="16"/>
      <c r="G71" s="16"/>
      <c r="H71" s="16"/>
      <c r="I71" s="16"/>
      <c r="J71" s="16"/>
      <c r="K71" s="16"/>
      <c r="L71" s="18"/>
      <c r="M71" s="18"/>
      <c r="N71" s="18"/>
      <c r="O71" s="18"/>
      <c r="P71" s="18"/>
      <c r="Q71" s="12"/>
    </row>
    <row r="72" spans="2:17" x14ac:dyDescent="0.25">
      <c r="B72" s="10"/>
      <c r="C72" s="16"/>
      <c r="D72" s="16"/>
      <c r="E72" s="16"/>
      <c r="F72" s="16"/>
      <c r="G72" s="16"/>
      <c r="H72" s="16"/>
      <c r="I72" s="16"/>
      <c r="J72" s="16"/>
      <c r="K72" s="16"/>
      <c r="L72" s="18"/>
      <c r="M72" s="18"/>
      <c r="N72" s="18"/>
      <c r="O72" s="18"/>
      <c r="P72" s="18"/>
      <c r="Q72" s="12"/>
    </row>
    <row r="73" spans="2:17" x14ac:dyDescent="0.25">
      <c r="B73" s="10"/>
      <c r="C73" s="16"/>
      <c r="D73" s="16"/>
      <c r="E73" s="16"/>
      <c r="F73" s="16"/>
      <c r="G73" s="16"/>
      <c r="H73" s="16"/>
      <c r="I73" s="16"/>
      <c r="J73" s="16"/>
      <c r="K73" s="16"/>
      <c r="L73" s="18"/>
      <c r="M73" s="18"/>
      <c r="N73" s="18"/>
      <c r="O73" s="18"/>
      <c r="P73" s="18"/>
      <c r="Q73" s="12"/>
    </row>
    <row r="74" spans="2:17" x14ac:dyDescent="0.25">
      <c r="B74" s="10"/>
      <c r="C74" s="16"/>
      <c r="D74" s="16"/>
      <c r="E74" s="16"/>
      <c r="F74" s="16"/>
      <c r="G74" s="16"/>
      <c r="H74" s="16"/>
      <c r="I74" s="16"/>
      <c r="J74" s="16"/>
      <c r="K74" s="16"/>
      <c r="L74" s="18"/>
      <c r="M74" s="18"/>
      <c r="N74" s="18"/>
      <c r="O74" s="18"/>
      <c r="P74" s="18"/>
      <c r="Q74" s="12"/>
    </row>
    <row r="75" spans="2:17" x14ac:dyDescent="0.25">
      <c r="B75" s="10"/>
      <c r="C75" s="16"/>
      <c r="D75" s="16"/>
      <c r="E75" s="16"/>
      <c r="F75" s="16"/>
      <c r="G75" s="16"/>
      <c r="H75" s="16"/>
      <c r="I75" s="16"/>
      <c r="J75" s="16"/>
      <c r="K75" s="16"/>
      <c r="L75" s="18"/>
      <c r="M75" s="18"/>
      <c r="N75" s="18"/>
      <c r="O75" s="18"/>
      <c r="P75" s="18"/>
      <c r="Q75" s="12"/>
    </row>
    <row r="76" spans="2:17" x14ac:dyDescent="0.25">
      <c r="B76" s="10"/>
      <c r="C76" s="16"/>
      <c r="D76" s="16"/>
      <c r="E76" s="16"/>
      <c r="F76" s="16"/>
      <c r="G76" s="16"/>
      <c r="H76" s="16"/>
      <c r="I76" s="16"/>
      <c r="J76" s="16"/>
      <c r="K76" s="16"/>
      <c r="L76" s="18"/>
      <c r="M76" s="18"/>
      <c r="N76" s="18"/>
      <c r="O76" s="18"/>
      <c r="P76" s="18"/>
      <c r="Q76" s="12"/>
    </row>
    <row r="77" spans="2:17" x14ac:dyDescent="0.25">
      <c r="B77" s="10"/>
      <c r="C77" s="16"/>
      <c r="D77" s="16"/>
      <c r="E77" s="16"/>
      <c r="F77" s="16"/>
      <c r="G77" s="16"/>
      <c r="H77" s="16"/>
      <c r="I77" s="16"/>
      <c r="J77" s="16"/>
      <c r="K77" s="16"/>
      <c r="L77" s="18"/>
      <c r="M77" s="18"/>
      <c r="N77" s="18"/>
      <c r="O77" s="18"/>
      <c r="P77" s="18"/>
      <c r="Q77" s="12"/>
    </row>
    <row r="78" spans="2:17" x14ac:dyDescent="0.25">
      <c r="B78" s="10"/>
      <c r="C78" s="16"/>
      <c r="D78" s="16"/>
      <c r="E78" s="16"/>
      <c r="F78" s="16"/>
      <c r="G78" s="16"/>
      <c r="H78" s="16"/>
      <c r="I78" s="16"/>
      <c r="J78" s="16"/>
      <c r="K78" s="16"/>
      <c r="L78" s="18"/>
      <c r="M78" s="18"/>
      <c r="N78" s="18"/>
      <c r="O78" s="18"/>
      <c r="P78" s="18"/>
      <c r="Q78" s="12"/>
    </row>
    <row r="79" spans="2:17" x14ac:dyDescent="0.25">
      <c r="B79" s="10"/>
      <c r="C79" s="16"/>
      <c r="D79" s="16"/>
      <c r="E79" s="16"/>
      <c r="F79" s="16"/>
      <c r="G79" s="16"/>
      <c r="H79" s="16"/>
      <c r="I79" s="16"/>
      <c r="J79" s="16"/>
      <c r="K79" s="16"/>
      <c r="L79" s="18"/>
      <c r="M79" s="18"/>
      <c r="N79" s="18"/>
      <c r="O79" s="18"/>
      <c r="P79" s="18"/>
      <c r="Q79" s="12"/>
    </row>
    <row r="80" spans="2:17" x14ac:dyDescent="0.25">
      <c r="B80" s="10"/>
      <c r="C80" s="16"/>
      <c r="D80" s="16"/>
      <c r="E80" s="16"/>
      <c r="F80" s="16"/>
      <c r="G80" s="16"/>
      <c r="H80" s="16"/>
      <c r="I80" s="16"/>
      <c r="J80" s="16"/>
      <c r="K80" s="16"/>
      <c r="L80" s="18"/>
      <c r="M80" s="18"/>
      <c r="N80" s="18"/>
      <c r="O80" s="18"/>
      <c r="P80" s="18"/>
      <c r="Q80" s="12"/>
    </row>
    <row r="81" spans="2:17" x14ac:dyDescent="0.25">
      <c r="B81" s="10"/>
      <c r="C81" s="16"/>
      <c r="D81" s="16"/>
      <c r="E81" s="16"/>
      <c r="F81" s="16"/>
      <c r="G81" s="16"/>
      <c r="H81" s="16"/>
      <c r="I81" s="16"/>
      <c r="J81" s="16"/>
      <c r="K81" s="16"/>
      <c r="L81" s="18"/>
      <c r="M81" s="18"/>
      <c r="N81" s="18"/>
      <c r="O81" s="18"/>
      <c r="P81" s="18"/>
      <c r="Q81" s="12"/>
    </row>
    <row r="82" spans="2:17" x14ac:dyDescent="0.25">
      <c r="B82" s="10"/>
      <c r="C82" s="16"/>
      <c r="D82" s="16"/>
      <c r="E82" s="16"/>
      <c r="F82" s="16"/>
      <c r="G82" s="16"/>
      <c r="H82" s="16"/>
      <c r="I82" s="16"/>
      <c r="J82" s="16"/>
      <c r="K82" s="16"/>
      <c r="L82" s="18"/>
      <c r="M82" s="18"/>
      <c r="N82" s="18"/>
      <c r="O82" s="18"/>
      <c r="P82" s="18"/>
      <c r="Q82" s="12"/>
    </row>
    <row r="83" spans="2:17" x14ac:dyDescent="0.25">
      <c r="B83" s="10"/>
      <c r="C83" s="16"/>
      <c r="D83" s="16"/>
      <c r="E83" s="16"/>
      <c r="F83" s="16"/>
      <c r="G83" s="16"/>
      <c r="H83" s="16"/>
      <c r="I83" s="16"/>
      <c r="J83" s="16"/>
      <c r="K83" s="16"/>
      <c r="L83" s="18"/>
      <c r="M83" s="18"/>
      <c r="N83" s="18"/>
      <c r="O83" s="18"/>
      <c r="P83" s="18"/>
      <c r="Q83" s="12"/>
    </row>
    <row r="84" spans="2:17" x14ac:dyDescent="0.25">
      <c r="B84" s="10"/>
      <c r="C84" s="16"/>
      <c r="D84" s="16"/>
      <c r="E84" s="16"/>
      <c r="F84" s="16"/>
      <c r="G84" s="16"/>
      <c r="H84" s="16"/>
      <c r="I84" s="16"/>
      <c r="J84" s="16"/>
      <c r="K84" s="16"/>
      <c r="L84" s="18"/>
      <c r="M84" s="18"/>
      <c r="N84" s="18"/>
      <c r="O84" s="18"/>
      <c r="P84" s="18"/>
      <c r="Q84" s="12"/>
    </row>
    <row r="85" spans="2:17" x14ac:dyDescent="0.25">
      <c r="B85" s="10"/>
      <c r="C85" s="16"/>
      <c r="D85" s="16"/>
      <c r="E85" s="16"/>
      <c r="F85" s="16"/>
      <c r="G85" s="16"/>
      <c r="H85" s="16"/>
      <c r="I85" s="16"/>
      <c r="J85" s="16"/>
      <c r="K85" s="16"/>
      <c r="L85" s="18"/>
      <c r="M85" s="18"/>
      <c r="N85" s="18"/>
      <c r="O85" s="18"/>
      <c r="P85" s="18"/>
      <c r="Q85" s="12"/>
    </row>
    <row r="86" spans="2:17" x14ac:dyDescent="0.25">
      <c r="B86" s="10"/>
      <c r="C86" s="16"/>
      <c r="D86" s="16"/>
      <c r="E86" s="16"/>
      <c r="F86" s="16"/>
      <c r="G86" s="16"/>
      <c r="H86" s="16"/>
      <c r="I86" s="16"/>
      <c r="J86" s="16"/>
      <c r="K86" s="16"/>
      <c r="L86" s="18"/>
      <c r="M86" s="18"/>
      <c r="N86" s="18"/>
      <c r="O86" s="18"/>
      <c r="P86" s="18"/>
      <c r="Q86" s="12"/>
    </row>
    <row r="87" spans="2:17" x14ac:dyDescent="0.25">
      <c r="B87" s="10"/>
      <c r="C87" s="16"/>
      <c r="D87" s="16"/>
      <c r="E87" s="16"/>
      <c r="F87" s="16"/>
      <c r="G87" s="16"/>
      <c r="H87" s="16"/>
      <c r="I87" s="16"/>
      <c r="J87" s="16"/>
      <c r="K87" s="16"/>
      <c r="L87" s="18"/>
      <c r="M87" s="18"/>
      <c r="N87" s="18"/>
      <c r="O87" s="18"/>
      <c r="P87" s="18"/>
      <c r="Q87" s="12"/>
    </row>
    <row r="88" spans="2:17" x14ac:dyDescent="0.25">
      <c r="B88" s="10"/>
      <c r="C88" s="16"/>
      <c r="D88" s="16"/>
      <c r="E88" s="16"/>
      <c r="F88" s="16"/>
      <c r="G88" s="16"/>
      <c r="H88" s="16"/>
      <c r="I88" s="16"/>
      <c r="J88" s="16"/>
      <c r="K88" s="16"/>
      <c r="L88" s="18"/>
      <c r="M88" s="18"/>
      <c r="N88" s="18"/>
      <c r="O88" s="18"/>
      <c r="P88" s="18"/>
      <c r="Q88" s="12"/>
    </row>
    <row r="89" spans="2:17" x14ac:dyDescent="0.25">
      <c r="B89" s="10"/>
      <c r="C89" s="16"/>
      <c r="D89" s="16"/>
      <c r="E89" s="16"/>
      <c r="F89" s="16"/>
      <c r="G89" s="16"/>
      <c r="H89" s="16"/>
      <c r="I89" s="16"/>
      <c r="J89" s="16"/>
      <c r="K89" s="16"/>
      <c r="L89" s="18"/>
      <c r="M89" s="18"/>
      <c r="N89" s="18"/>
      <c r="O89" s="18"/>
      <c r="P89" s="18"/>
      <c r="Q89" s="12"/>
    </row>
    <row r="90" spans="2:17" x14ac:dyDescent="0.25">
      <c r="B90" s="10"/>
      <c r="C90" s="16"/>
      <c r="D90" s="16"/>
      <c r="E90" s="16"/>
      <c r="F90" s="16"/>
      <c r="G90" s="16"/>
      <c r="H90" s="16"/>
      <c r="I90" s="16"/>
      <c r="J90" s="16"/>
      <c r="K90" s="16"/>
      <c r="L90" s="18"/>
      <c r="M90" s="18"/>
      <c r="N90" s="18"/>
      <c r="O90" s="18"/>
      <c r="P90" s="18"/>
      <c r="Q90" s="12"/>
    </row>
    <row r="91" spans="2:17" x14ac:dyDescent="0.25">
      <c r="B91" s="10"/>
      <c r="C91" s="16"/>
      <c r="D91" s="16"/>
      <c r="E91" s="16"/>
      <c r="F91" s="16"/>
      <c r="G91" s="16"/>
      <c r="H91" s="16"/>
      <c r="I91" s="16"/>
      <c r="J91" s="16"/>
      <c r="K91" s="16"/>
      <c r="L91" s="18"/>
      <c r="M91" s="18"/>
      <c r="N91" s="18"/>
      <c r="O91" s="18"/>
      <c r="P91" s="18"/>
      <c r="Q91" s="12"/>
    </row>
    <row r="92" spans="2:17" x14ac:dyDescent="0.25">
      <c r="B92" s="10"/>
      <c r="C92" s="16"/>
      <c r="D92" s="16"/>
      <c r="E92" s="16"/>
      <c r="F92" s="16"/>
      <c r="G92" s="16"/>
      <c r="H92" s="16"/>
      <c r="I92" s="16"/>
      <c r="J92" s="16"/>
      <c r="K92" s="16"/>
      <c r="L92" s="18"/>
      <c r="M92" s="18"/>
      <c r="N92" s="18"/>
      <c r="O92" s="18"/>
      <c r="P92" s="18"/>
      <c r="Q92" s="12"/>
    </row>
    <row r="93" spans="2:17" x14ac:dyDescent="0.25">
      <c r="B93" s="10"/>
      <c r="C93" s="16"/>
      <c r="D93" s="16"/>
      <c r="E93" s="16"/>
      <c r="F93" s="16"/>
      <c r="G93" s="16"/>
      <c r="H93" s="16"/>
      <c r="I93" s="16"/>
      <c r="J93" s="16"/>
      <c r="K93" s="16"/>
      <c r="L93" s="18"/>
      <c r="M93" s="18"/>
      <c r="N93" s="18"/>
      <c r="O93" s="18"/>
      <c r="P93" s="18"/>
      <c r="Q93" s="12"/>
    </row>
    <row r="94" spans="2:17" x14ac:dyDescent="0.25">
      <c r="B94" s="10"/>
      <c r="C94" s="16"/>
      <c r="D94" s="16"/>
      <c r="E94" s="16"/>
      <c r="F94" s="16"/>
      <c r="G94" s="16"/>
      <c r="H94" s="16"/>
      <c r="I94" s="16"/>
      <c r="J94" s="16"/>
      <c r="K94" s="16"/>
      <c r="L94" s="18"/>
      <c r="M94" s="18"/>
      <c r="N94" s="18"/>
      <c r="O94" s="18"/>
      <c r="P94" s="18"/>
      <c r="Q94" s="12"/>
    </row>
    <row r="95" spans="2:17" x14ac:dyDescent="0.25">
      <c r="B95" s="10"/>
      <c r="C95" s="16"/>
      <c r="D95" s="16"/>
      <c r="E95" s="16"/>
      <c r="F95" s="16"/>
      <c r="G95" s="16"/>
      <c r="H95" s="16"/>
      <c r="I95" s="16"/>
      <c r="J95" s="16"/>
      <c r="K95" s="16"/>
      <c r="L95" s="18"/>
      <c r="M95" s="18"/>
      <c r="N95" s="18"/>
      <c r="O95" s="18"/>
      <c r="P95" s="18"/>
      <c r="Q95" s="12"/>
    </row>
    <row r="96" spans="2:17" x14ac:dyDescent="0.25">
      <c r="B96" s="10"/>
      <c r="C96" s="16"/>
      <c r="D96" s="16"/>
      <c r="E96" s="16"/>
      <c r="F96" s="16"/>
      <c r="G96" s="16"/>
      <c r="H96" s="16"/>
      <c r="I96" s="16"/>
      <c r="J96" s="16"/>
      <c r="K96" s="16"/>
      <c r="L96" s="18"/>
      <c r="M96" s="18"/>
      <c r="N96" s="18"/>
      <c r="O96" s="18"/>
      <c r="P96" s="18"/>
      <c r="Q96" s="12"/>
    </row>
    <row r="97" spans="2:17" x14ac:dyDescent="0.25">
      <c r="B97" s="10"/>
      <c r="C97" s="16"/>
      <c r="D97" s="16"/>
      <c r="E97" s="16"/>
      <c r="F97" s="16"/>
      <c r="G97" s="16"/>
      <c r="H97" s="16"/>
      <c r="I97" s="16"/>
      <c r="J97" s="16"/>
      <c r="K97" s="16"/>
      <c r="L97" s="18"/>
      <c r="M97" s="18"/>
      <c r="N97" s="18"/>
      <c r="O97" s="18"/>
      <c r="P97" s="18"/>
      <c r="Q97" s="12"/>
    </row>
    <row r="98" spans="2:17" x14ac:dyDescent="0.25">
      <c r="B98" s="10"/>
      <c r="C98" s="16"/>
      <c r="D98" s="16"/>
      <c r="E98" s="16"/>
      <c r="F98" s="16"/>
      <c r="G98" s="16"/>
      <c r="H98" s="16"/>
      <c r="I98" s="16"/>
      <c r="J98" s="16"/>
      <c r="K98" s="16"/>
      <c r="L98" s="18"/>
      <c r="M98" s="18"/>
      <c r="N98" s="18"/>
      <c r="O98" s="18"/>
      <c r="P98" s="18"/>
      <c r="Q98" s="12"/>
    </row>
    <row r="99" spans="2:17" x14ac:dyDescent="0.25">
      <c r="B99" s="10"/>
      <c r="C99" s="16"/>
      <c r="D99" s="16"/>
      <c r="E99" s="16"/>
      <c r="F99" s="16"/>
      <c r="G99" s="16"/>
      <c r="H99" s="16"/>
      <c r="I99" s="16"/>
      <c r="J99" s="16"/>
      <c r="K99" s="16"/>
      <c r="L99" s="18"/>
      <c r="M99" s="18"/>
      <c r="N99" s="18"/>
      <c r="O99" s="18"/>
      <c r="P99" s="18"/>
      <c r="Q99" s="12"/>
    </row>
    <row r="100" spans="2:17" x14ac:dyDescent="0.25">
      <c r="B100" s="10"/>
      <c r="C100" s="16"/>
      <c r="D100" s="16"/>
      <c r="E100" s="16"/>
      <c r="F100" s="16"/>
      <c r="G100" s="16"/>
      <c r="H100" s="16"/>
      <c r="I100" s="16"/>
      <c r="J100" s="16"/>
      <c r="K100" s="16"/>
      <c r="L100" s="18"/>
      <c r="M100" s="18"/>
      <c r="N100" s="18"/>
      <c r="O100" s="18"/>
      <c r="P100" s="18"/>
      <c r="Q100" s="12"/>
    </row>
    <row r="101" spans="2:17" x14ac:dyDescent="0.25">
      <c r="B101" s="10"/>
      <c r="C101" s="16"/>
      <c r="D101" s="16"/>
      <c r="E101" s="16"/>
      <c r="F101" s="16"/>
      <c r="G101" s="16"/>
      <c r="H101" s="16"/>
      <c r="I101" s="16"/>
      <c r="J101" s="16"/>
      <c r="K101" s="16"/>
      <c r="L101" s="18"/>
      <c r="M101" s="18"/>
      <c r="N101" s="18"/>
      <c r="O101" s="18"/>
      <c r="P101" s="18"/>
      <c r="Q101" s="12"/>
    </row>
    <row r="102" spans="2:17" x14ac:dyDescent="0.25">
      <c r="B102" s="10"/>
      <c r="C102" s="16"/>
      <c r="D102" s="16"/>
      <c r="E102" s="16"/>
      <c r="F102" s="16"/>
      <c r="G102" s="16"/>
      <c r="H102" s="16"/>
      <c r="I102" s="16"/>
      <c r="J102" s="16"/>
      <c r="K102" s="16"/>
      <c r="L102" s="18"/>
      <c r="M102" s="18"/>
      <c r="N102" s="18"/>
      <c r="O102" s="18"/>
      <c r="P102" s="18"/>
      <c r="Q102" s="12"/>
    </row>
    <row r="103" spans="2:17" x14ac:dyDescent="0.25">
      <c r="B103" s="10"/>
      <c r="C103" s="16"/>
      <c r="D103" s="16"/>
      <c r="E103" s="16"/>
      <c r="F103" s="16"/>
      <c r="G103" s="16"/>
      <c r="H103" s="16"/>
      <c r="I103" s="16"/>
      <c r="J103" s="16"/>
      <c r="K103" s="16"/>
      <c r="L103" s="18"/>
      <c r="M103" s="18"/>
      <c r="N103" s="18"/>
      <c r="O103" s="18"/>
      <c r="P103" s="18"/>
      <c r="Q103" s="12"/>
    </row>
    <row r="104" spans="2:17" x14ac:dyDescent="0.25">
      <c r="B104" s="10"/>
      <c r="C104" s="16"/>
      <c r="D104" s="16"/>
      <c r="E104" s="16"/>
      <c r="F104" s="16"/>
      <c r="G104" s="16"/>
      <c r="H104" s="16"/>
      <c r="I104" s="16"/>
      <c r="J104" s="16"/>
      <c r="K104" s="16"/>
      <c r="L104" s="18"/>
      <c r="M104" s="18"/>
      <c r="N104" s="18"/>
      <c r="O104" s="18"/>
      <c r="P104" s="18"/>
      <c r="Q104" s="12"/>
    </row>
    <row r="105" spans="2:17" x14ac:dyDescent="0.25"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</row>
  </sheetData>
  <conditionalFormatting sqref="C17:P104 C7:C16 F6:P16">
    <cfRule type="expression" dxfId="13" priority="6">
      <formula>C$2&gt;0</formula>
    </cfRule>
  </conditionalFormatting>
  <conditionalFormatting sqref="C6">
    <cfRule type="expression" dxfId="12" priority="5">
      <formula>C$2&gt;0</formula>
    </cfRule>
  </conditionalFormatting>
  <conditionalFormatting sqref="D7:D16">
    <cfRule type="expression" dxfId="11" priority="4">
      <formula>D$2&gt;0</formula>
    </cfRule>
  </conditionalFormatting>
  <conditionalFormatting sqref="D6">
    <cfRule type="expression" dxfId="10" priority="3">
      <formula>D$2&gt;0</formula>
    </cfRule>
  </conditionalFormatting>
  <conditionalFormatting sqref="E7:E16">
    <cfRule type="expression" dxfId="9" priority="2">
      <formula>E$2&gt;0</formula>
    </cfRule>
  </conditionalFormatting>
  <conditionalFormatting sqref="E6">
    <cfRule type="expression" dxfId="8" priority="1">
      <formula>E$2&gt;0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B1:Q108"/>
  <sheetViews>
    <sheetView showGridLines="0" workbookViewId="0">
      <selection activeCell="C6" sqref="C6"/>
    </sheetView>
  </sheetViews>
  <sheetFormatPr defaultRowHeight="15" x14ac:dyDescent="0.25"/>
  <cols>
    <col min="2" max="2" width="23.85546875" customWidth="1"/>
    <col min="3" max="3" width="43" bestFit="1" customWidth="1"/>
    <col min="4" max="4" width="43" customWidth="1"/>
    <col min="5" max="5" width="43.42578125" customWidth="1"/>
    <col min="6" max="6" width="44.140625" customWidth="1"/>
    <col min="7" max="8" width="47.28515625" customWidth="1"/>
    <col min="9" max="9" width="40.85546875" customWidth="1"/>
    <col min="10" max="12" width="44.140625" customWidth="1"/>
    <col min="13" max="13" width="48.42578125" customWidth="1"/>
    <col min="14" max="14" width="48.7109375" customWidth="1"/>
    <col min="15" max="16" width="38" customWidth="1"/>
  </cols>
  <sheetData>
    <row r="1" spans="2:17" x14ac:dyDescent="0.25"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</row>
    <row r="2" spans="2:17" x14ac:dyDescent="0.25">
      <c r="B2" s="7" t="s">
        <v>1</v>
      </c>
      <c r="C2" s="8">
        <f t="array" ref="C2:P2">TRANSPOSE('Cat_YET List'!C3:C16)</f>
        <v>0</v>
      </c>
      <c r="D2" s="8">
        <v>0</v>
      </c>
      <c r="E2" s="8">
        <v>0</v>
      </c>
      <c r="F2" s="8">
        <v>0</v>
      </c>
      <c r="G2" s="8">
        <v>0</v>
      </c>
      <c r="H2" s="8">
        <v>0</v>
      </c>
      <c r="I2" s="8">
        <v>0</v>
      </c>
      <c r="J2" s="8">
        <v>0</v>
      </c>
      <c r="K2" s="8">
        <v>0</v>
      </c>
      <c r="L2" s="8">
        <v>0</v>
      </c>
      <c r="M2" s="8">
        <v>0</v>
      </c>
      <c r="N2" s="8">
        <v>0</v>
      </c>
      <c r="O2" s="8">
        <v>0</v>
      </c>
      <c r="P2" s="8">
        <v>0</v>
      </c>
    </row>
    <row r="4" spans="2:17" x14ac:dyDescent="0.25">
      <c r="C4" s="1" t="s">
        <v>3</v>
      </c>
    </row>
    <row r="5" spans="2:17" x14ac:dyDescent="0.25">
      <c r="B5" s="2" t="s">
        <v>21</v>
      </c>
      <c r="C5" s="9" t="str">
        <f t="array" ref="C5:P5">TRANSPOSE('Cat_YET List'!B3:B16)</f>
        <v>EQ.RMS.ELD.2</v>
      </c>
      <c r="D5" s="9" t="str">
        <v>EQ.RMS.ELD.4</v>
      </c>
      <c r="E5" s="9" t="str">
        <v>EQFF.RMS.ELD</v>
      </c>
      <c r="F5" s="9" t="str">
        <v>HULT.RMS.ELD</v>
      </c>
      <c r="G5" s="9" t="str">
        <v>HULT.RMS.ELD.3</v>
      </c>
      <c r="H5" s="9" t="str">
        <v>HULT.RMS.ELD.4</v>
      </c>
      <c r="I5" s="9" t="str">
        <v>SCS.RMS.ELD</v>
      </c>
      <c r="J5" s="9" t="str">
        <v>SCS.RMS.ELD.2</v>
      </c>
      <c r="K5" s="9" t="str">
        <v>SCS.RMS.ELD.3</v>
      </c>
      <c r="L5" s="11" t="str">
        <v>SCS.RMS.ELD.4</v>
      </c>
      <c r="M5" s="11" t="str">
        <v>NonStandardAuto_HU</v>
      </c>
      <c r="N5" s="11" t="str">
        <v>NonStandardAuto_SCS</v>
      </c>
      <c r="O5" s="11" t="str">
        <v>WC_EQ.1</v>
      </c>
      <c r="P5" s="11" t="str">
        <v>WC_EQ.2</v>
      </c>
      <c r="Q5" s="12"/>
    </row>
    <row r="6" spans="2:17" x14ac:dyDescent="0.25">
      <c r="B6" s="10">
        <v>1</v>
      </c>
      <c r="C6" s="16" t="s">
        <v>64</v>
      </c>
      <c r="D6" s="16" t="s">
        <v>65</v>
      </c>
      <c r="E6" s="16" t="s">
        <v>66</v>
      </c>
      <c r="F6" s="16" t="s">
        <v>67</v>
      </c>
      <c r="G6" s="16" t="s">
        <v>68</v>
      </c>
      <c r="H6" s="16" t="s">
        <v>69</v>
      </c>
      <c r="I6" s="16" t="s">
        <v>70</v>
      </c>
      <c r="J6" s="16" t="s">
        <v>71</v>
      </c>
      <c r="K6" s="16" t="s">
        <v>72</v>
      </c>
      <c r="L6" s="16" t="s">
        <v>73</v>
      </c>
      <c r="M6" s="16" t="s">
        <v>74</v>
      </c>
      <c r="N6" s="16" t="s">
        <v>75</v>
      </c>
      <c r="O6" s="16" t="s">
        <v>76</v>
      </c>
      <c r="P6" s="16" t="s">
        <v>77</v>
      </c>
      <c r="Q6" s="12"/>
    </row>
    <row r="7" spans="2:17" x14ac:dyDescent="0.25">
      <c r="B7" s="10">
        <v>2</v>
      </c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2"/>
    </row>
    <row r="8" spans="2:17" x14ac:dyDescent="0.25">
      <c r="B8" s="10">
        <v>3</v>
      </c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2"/>
    </row>
    <row r="9" spans="2:17" x14ac:dyDescent="0.25">
      <c r="B9" s="10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2"/>
    </row>
    <row r="10" spans="2:17" x14ac:dyDescent="0.25">
      <c r="B10" s="10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2"/>
    </row>
    <row r="11" spans="2:17" x14ac:dyDescent="0.25">
      <c r="B11" s="10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2"/>
    </row>
    <row r="12" spans="2:17" x14ac:dyDescent="0.25">
      <c r="B12" s="10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2"/>
    </row>
    <row r="13" spans="2:17" x14ac:dyDescent="0.25">
      <c r="B13" s="10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2"/>
    </row>
    <row r="14" spans="2:17" x14ac:dyDescent="0.25">
      <c r="B14" s="10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2"/>
    </row>
    <row r="15" spans="2:17" x14ac:dyDescent="0.25">
      <c r="B15" s="10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2"/>
    </row>
    <row r="16" spans="2:17" x14ac:dyDescent="0.25">
      <c r="B16" s="10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2"/>
    </row>
    <row r="17" spans="2:17" x14ac:dyDescent="0.25">
      <c r="B17" s="10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2"/>
    </row>
    <row r="18" spans="2:17" x14ac:dyDescent="0.25">
      <c r="B18" s="10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2"/>
    </row>
    <row r="19" spans="2:17" x14ac:dyDescent="0.25">
      <c r="B19" s="10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2"/>
    </row>
    <row r="20" spans="2:17" x14ac:dyDescent="0.25">
      <c r="B20" s="10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2"/>
    </row>
    <row r="21" spans="2:17" x14ac:dyDescent="0.25">
      <c r="B21" s="10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2"/>
    </row>
    <row r="22" spans="2:17" x14ac:dyDescent="0.25">
      <c r="B22" s="10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2"/>
    </row>
    <row r="23" spans="2:17" x14ac:dyDescent="0.25">
      <c r="B23" s="10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2"/>
    </row>
    <row r="24" spans="2:17" x14ac:dyDescent="0.25">
      <c r="B24" s="10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2"/>
    </row>
    <row r="25" spans="2:17" x14ac:dyDescent="0.25">
      <c r="B25" s="10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2"/>
    </row>
    <row r="26" spans="2:17" x14ac:dyDescent="0.25">
      <c r="B26" s="10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2"/>
    </row>
    <row r="27" spans="2:17" x14ac:dyDescent="0.25">
      <c r="B27" s="10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2"/>
    </row>
    <row r="28" spans="2:17" x14ac:dyDescent="0.25">
      <c r="B28" s="10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2"/>
    </row>
    <row r="29" spans="2:17" x14ac:dyDescent="0.25">
      <c r="B29" s="10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2"/>
    </row>
    <row r="30" spans="2:17" x14ac:dyDescent="0.25">
      <c r="B30" s="10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2"/>
    </row>
    <row r="31" spans="2:17" x14ac:dyDescent="0.25">
      <c r="B31" s="10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2"/>
    </row>
    <row r="32" spans="2:17" x14ac:dyDescent="0.25">
      <c r="B32" s="10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2"/>
    </row>
    <row r="33" spans="2:17" x14ac:dyDescent="0.25">
      <c r="B33" s="10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2"/>
    </row>
    <row r="34" spans="2:17" x14ac:dyDescent="0.25">
      <c r="B34" s="10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2"/>
    </row>
    <row r="35" spans="2:17" x14ac:dyDescent="0.25">
      <c r="B35" s="10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2"/>
    </row>
    <row r="36" spans="2:17" x14ac:dyDescent="0.25">
      <c r="B36" s="10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2"/>
    </row>
    <row r="37" spans="2:17" x14ac:dyDescent="0.25">
      <c r="B37" s="10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2"/>
    </row>
    <row r="38" spans="2:17" x14ac:dyDescent="0.25">
      <c r="B38" s="10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2"/>
    </row>
    <row r="39" spans="2:17" x14ac:dyDescent="0.25">
      <c r="B39" s="10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2"/>
    </row>
    <row r="40" spans="2:17" x14ac:dyDescent="0.25">
      <c r="B40" s="10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2"/>
    </row>
    <row r="41" spans="2:17" x14ac:dyDescent="0.25">
      <c r="B41" s="10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2"/>
    </row>
    <row r="42" spans="2:17" x14ac:dyDescent="0.25">
      <c r="B42" s="10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2"/>
    </row>
    <row r="43" spans="2:17" x14ac:dyDescent="0.25">
      <c r="B43" s="10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2"/>
    </row>
    <row r="44" spans="2:17" x14ac:dyDescent="0.25">
      <c r="B44" s="10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2"/>
    </row>
    <row r="45" spans="2:17" x14ac:dyDescent="0.25">
      <c r="B45" s="10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2"/>
    </row>
    <row r="46" spans="2:17" x14ac:dyDescent="0.25">
      <c r="B46" s="10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2"/>
    </row>
    <row r="47" spans="2:17" x14ac:dyDescent="0.25">
      <c r="B47" s="10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2"/>
    </row>
    <row r="48" spans="2:17" x14ac:dyDescent="0.25">
      <c r="B48" s="10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2"/>
    </row>
    <row r="49" spans="2:17" x14ac:dyDescent="0.25">
      <c r="B49" s="10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2"/>
    </row>
    <row r="50" spans="2:17" x14ac:dyDescent="0.25">
      <c r="B50" s="10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2"/>
    </row>
    <row r="51" spans="2:17" x14ac:dyDescent="0.25">
      <c r="B51" s="10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2"/>
    </row>
    <row r="52" spans="2:17" x14ac:dyDescent="0.25">
      <c r="B52" s="10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2"/>
    </row>
    <row r="53" spans="2:17" x14ac:dyDescent="0.25">
      <c r="B53" s="10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2"/>
    </row>
    <row r="54" spans="2:17" x14ac:dyDescent="0.25">
      <c r="B54" s="10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2"/>
    </row>
    <row r="55" spans="2:17" x14ac:dyDescent="0.25">
      <c r="B55" s="10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2"/>
    </row>
    <row r="56" spans="2:17" x14ac:dyDescent="0.25">
      <c r="B56" s="10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2"/>
    </row>
    <row r="57" spans="2:17" x14ac:dyDescent="0.25">
      <c r="B57" s="10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2"/>
    </row>
    <row r="58" spans="2:17" x14ac:dyDescent="0.25">
      <c r="B58" s="10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2"/>
    </row>
    <row r="59" spans="2:17" x14ac:dyDescent="0.25">
      <c r="B59" s="10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2"/>
    </row>
    <row r="60" spans="2:17" x14ac:dyDescent="0.25">
      <c r="B60" s="10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2"/>
    </row>
    <row r="61" spans="2:17" x14ac:dyDescent="0.25">
      <c r="B61" s="10"/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2"/>
    </row>
    <row r="62" spans="2:17" x14ac:dyDescent="0.25">
      <c r="B62" s="10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2"/>
    </row>
    <row r="63" spans="2:17" x14ac:dyDescent="0.25">
      <c r="B63" s="10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2"/>
    </row>
    <row r="64" spans="2:17" x14ac:dyDescent="0.25">
      <c r="B64" s="10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2"/>
    </row>
    <row r="65" spans="2:17" x14ac:dyDescent="0.25">
      <c r="B65" s="10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2"/>
    </row>
    <row r="66" spans="2:17" x14ac:dyDescent="0.25">
      <c r="B66" s="10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2"/>
    </row>
    <row r="67" spans="2:17" x14ac:dyDescent="0.25">
      <c r="B67" s="10"/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2"/>
    </row>
    <row r="68" spans="2:17" x14ac:dyDescent="0.25">
      <c r="B68" s="10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2"/>
    </row>
    <row r="69" spans="2:17" x14ac:dyDescent="0.25">
      <c r="B69" s="10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2"/>
    </row>
    <row r="70" spans="2:17" x14ac:dyDescent="0.25">
      <c r="B70" s="10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2"/>
    </row>
    <row r="71" spans="2:17" x14ac:dyDescent="0.25">
      <c r="B71" s="10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2"/>
    </row>
    <row r="72" spans="2:17" x14ac:dyDescent="0.25">
      <c r="B72" s="10"/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2"/>
    </row>
    <row r="73" spans="2:17" x14ac:dyDescent="0.25">
      <c r="B73" s="10"/>
      <c r="C73" s="16"/>
      <c r="D73" s="16"/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2"/>
    </row>
    <row r="74" spans="2:17" x14ac:dyDescent="0.25">
      <c r="B74" s="10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2"/>
    </row>
    <row r="75" spans="2:17" x14ac:dyDescent="0.25">
      <c r="B75" s="10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2"/>
    </row>
    <row r="76" spans="2:17" x14ac:dyDescent="0.25">
      <c r="B76" s="10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2"/>
    </row>
    <row r="77" spans="2:17" x14ac:dyDescent="0.25">
      <c r="B77" s="10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2"/>
    </row>
    <row r="78" spans="2:17" x14ac:dyDescent="0.25">
      <c r="B78" s="10"/>
      <c r="C78" s="16"/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2"/>
    </row>
    <row r="79" spans="2:17" x14ac:dyDescent="0.25">
      <c r="B79" s="10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2"/>
    </row>
    <row r="80" spans="2:17" x14ac:dyDescent="0.25">
      <c r="B80" s="10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2"/>
    </row>
    <row r="81" spans="2:17" x14ac:dyDescent="0.25">
      <c r="B81" s="10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2"/>
    </row>
    <row r="82" spans="2:17" x14ac:dyDescent="0.25">
      <c r="B82" s="10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2"/>
    </row>
    <row r="83" spans="2:17" x14ac:dyDescent="0.25">
      <c r="B83" s="10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2"/>
    </row>
    <row r="84" spans="2:17" x14ac:dyDescent="0.25">
      <c r="B84" s="10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2"/>
    </row>
    <row r="85" spans="2:17" x14ac:dyDescent="0.25">
      <c r="B85" s="10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2"/>
    </row>
    <row r="86" spans="2:17" x14ac:dyDescent="0.25">
      <c r="B86" s="10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2"/>
    </row>
    <row r="87" spans="2:17" x14ac:dyDescent="0.25">
      <c r="B87" s="10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2"/>
    </row>
    <row r="88" spans="2:17" x14ac:dyDescent="0.25">
      <c r="B88" s="10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2"/>
    </row>
    <row r="89" spans="2:17" x14ac:dyDescent="0.25">
      <c r="B89" s="10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2"/>
    </row>
    <row r="90" spans="2:17" x14ac:dyDescent="0.25">
      <c r="B90" s="10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2"/>
    </row>
    <row r="91" spans="2:17" x14ac:dyDescent="0.25">
      <c r="B91" s="10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2"/>
    </row>
    <row r="92" spans="2:17" x14ac:dyDescent="0.25">
      <c r="B92" s="10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2"/>
    </row>
    <row r="93" spans="2:17" x14ac:dyDescent="0.25">
      <c r="B93" s="10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2"/>
    </row>
    <row r="94" spans="2:17" x14ac:dyDescent="0.25">
      <c r="B94" s="10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2"/>
    </row>
    <row r="95" spans="2:17" x14ac:dyDescent="0.25">
      <c r="B95" s="10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2"/>
    </row>
    <row r="96" spans="2:17" x14ac:dyDescent="0.25">
      <c r="B96" s="10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2"/>
    </row>
    <row r="97" spans="2:17" x14ac:dyDescent="0.25">
      <c r="B97" s="10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2"/>
    </row>
    <row r="98" spans="2:17" x14ac:dyDescent="0.25">
      <c r="B98" s="10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2"/>
    </row>
    <row r="99" spans="2:17" x14ac:dyDescent="0.25">
      <c r="B99" s="10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2"/>
    </row>
    <row r="100" spans="2:17" x14ac:dyDescent="0.25">
      <c r="B100" s="10"/>
      <c r="C100" s="16"/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2"/>
    </row>
    <row r="101" spans="2:17" x14ac:dyDescent="0.25">
      <c r="B101" s="10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2"/>
    </row>
    <row r="102" spans="2:17" x14ac:dyDescent="0.25">
      <c r="B102" s="10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2"/>
    </row>
    <row r="103" spans="2:17" x14ac:dyDescent="0.25">
      <c r="B103" s="10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2"/>
    </row>
    <row r="104" spans="2:17" x14ac:dyDescent="0.25">
      <c r="B104" s="10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2"/>
    </row>
    <row r="105" spans="2:17" x14ac:dyDescent="0.25">
      <c r="B105" s="10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2"/>
    </row>
    <row r="106" spans="2:17" x14ac:dyDescent="0.25">
      <c r="B106" s="10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2"/>
    </row>
    <row r="107" spans="2:17" x14ac:dyDescent="0.25">
      <c r="B107" s="10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2"/>
    </row>
    <row r="108" spans="2:17" x14ac:dyDescent="0.25"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</row>
  </sheetData>
  <conditionalFormatting sqref="C6:P107">
    <cfRule type="expression" dxfId="7" priority="1">
      <formula>C$2&lt;1</formula>
    </cfRule>
  </conditionalFormatting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"/>
  <dimension ref="B2:Q16"/>
  <sheetViews>
    <sheetView showGridLines="0" workbookViewId="0"/>
  </sheetViews>
  <sheetFormatPr defaultRowHeight="15" x14ac:dyDescent="0.25"/>
  <cols>
    <col min="2" max="2" width="23.85546875" customWidth="1"/>
    <col min="3" max="3" width="38.85546875" bestFit="1" customWidth="1"/>
    <col min="4" max="4" width="34.28515625" bestFit="1" customWidth="1"/>
    <col min="5" max="5" width="35.140625" bestFit="1" customWidth="1"/>
    <col min="6" max="16" width="18.140625" customWidth="1"/>
  </cols>
  <sheetData>
    <row r="2" spans="2:17" x14ac:dyDescent="0.25">
      <c r="B2" s="7" t="s">
        <v>1</v>
      </c>
      <c r="C2" s="8">
        <f t="array" ref="C2:P2">TRANSPOSE('Cat_YET List'!C3:C16)</f>
        <v>0</v>
      </c>
      <c r="D2" s="8">
        <v>0</v>
      </c>
      <c r="E2" s="8">
        <v>0</v>
      </c>
      <c r="F2" s="8">
        <v>0</v>
      </c>
      <c r="G2" s="8">
        <v>0</v>
      </c>
      <c r="H2" s="8">
        <v>0</v>
      </c>
      <c r="I2" s="8">
        <v>0</v>
      </c>
      <c r="J2" s="8">
        <v>0</v>
      </c>
      <c r="K2" s="8">
        <v>0</v>
      </c>
      <c r="L2" s="8">
        <v>0</v>
      </c>
      <c r="M2" s="8">
        <v>0</v>
      </c>
      <c r="N2" s="8">
        <v>0</v>
      </c>
      <c r="O2" s="8">
        <v>0</v>
      </c>
      <c r="P2" s="8">
        <v>0</v>
      </c>
    </row>
    <row r="4" spans="2:17" x14ac:dyDescent="0.25">
      <c r="C4" s="1" t="s">
        <v>3</v>
      </c>
    </row>
    <row r="5" spans="2:17" x14ac:dyDescent="0.25">
      <c r="B5" s="2" t="s">
        <v>4</v>
      </c>
      <c r="C5" s="9" t="str">
        <f t="array" ref="C5:P5">TRANSPOSE('Cat_YET List'!B3:B16)</f>
        <v>EQ.RMS.ELD.2</v>
      </c>
      <c r="D5" s="9" t="str">
        <v>EQ.RMS.ELD.4</v>
      </c>
      <c r="E5" s="9" t="str">
        <v>EQFF.RMS.ELD</v>
      </c>
      <c r="F5" s="9" t="str">
        <v>HULT.RMS.ELD</v>
      </c>
      <c r="G5" s="9" t="str">
        <v>HULT.RMS.ELD.3</v>
      </c>
      <c r="H5" s="9" t="str">
        <v>HULT.RMS.ELD.4</v>
      </c>
      <c r="I5" s="9" t="str">
        <v>SCS.RMS.ELD</v>
      </c>
      <c r="J5" s="9" t="str">
        <v>SCS.RMS.ELD.2</v>
      </c>
      <c r="K5" s="9" t="str">
        <v>SCS.RMS.ELD.3</v>
      </c>
      <c r="L5" s="11" t="str">
        <v>SCS.RMS.ELD.4</v>
      </c>
      <c r="M5" s="11" t="str">
        <v>NonStandardAuto_HU</v>
      </c>
      <c r="N5" s="11" t="str">
        <v>NonStandardAuto_SCS</v>
      </c>
      <c r="O5" s="11" t="str">
        <v>WC_EQ.1</v>
      </c>
      <c r="P5" s="11" t="str">
        <v>WC_EQ.2</v>
      </c>
      <c r="Q5" s="12"/>
    </row>
    <row r="6" spans="2:17" x14ac:dyDescent="0.25">
      <c r="B6" s="10" t="s">
        <v>5</v>
      </c>
      <c r="C6" s="16"/>
      <c r="D6" s="16"/>
      <c r="E6" s="16"/>
      <c r="F6" s="16"/>
      <c r="G6" s="16"/>
      <c r="H6" s="16"/>
      <c r="I6" s="16"/>
      <c r="J6" s="16"/>
      <c r="K6" s="16"/>
      <c r="L6" s="18"/>
      <c r="M6" s="18"/>
      <c r="N6" s="18"/>
      <c r="O6" s="18"/>
      <c r="P6" s="18"/>
      <c r="Q6" s="12"/>
    </row>
    <row r="7" spans="2:17" x14ac:dyDescent="0.25">
      <c r="B7" s="10"/>
      <c r="C7" s="16"/>
      <c r="D7" s="16"/>
      <c r="E7" s="16"/>
      <c r="F7" s="16"/>
      <c r="G7" s="16"/>
      <c r="H7" s="16"/>
      <c r="I7" s="16"/>
      <c r="J7" s="16"/>
      <c r="K7" s="16"/>
      <c r="L7" s="18"/>
      <c r="M7" s="18"/>
      <c r="N7" s="18"/>
      <c r="O7" s="18"/>
      <c r="P7" s="18"/>
      <c r="Q7" s="12"/>
    </row>
    <row r="8" spans="2:17" x14ac:dyDescent="0.25">
      <c r="B8" s="10"/>
      <c r="C8" s="16"/>
      <c r="D8" s="16"/>
      <c r="E8" s="16"/>
      <c r="F8" s="16"/>
      <c r="G8" s="16"/>
      <c r="H8" s="16"/>
      <c r="I8" s="16"/>
      <c r="J8" s="16"/>
      <c r="K8" s="16"/>
      <c r="L8" s="18"/>
      <c r="M8" s="18"/>
      <c r="N8" s="18"/>
      <c r="O8" s="18"/>
      <c r="P8" s="18"/>
      <c r="Q8" s="12"/>
    </row>
    <row r="9" spans="2:17" x14ac:dyDescent="0.25">
      <c r="B9" s="10"/>
      <c r="C9" s="16"/>
      <c r="D9" s="16"/>
      <c r="E9" s="16"/>
      <c r="F9" s="16"/>
      <c r="G9" s="16"/>
      <c r="H9" s="16"/>
      <c r="I9" s="16"/>
      <c r="J9" s="16"/>
      <c r="K9" s="16"/>
      <c r="L9" s="18"/>
      <c r="M9" s="18"/>
      <c r="N9" s="18"/>
      <c r="O9" s="18"/>
      <c r="P9" s="18"/>
      <c r="Q9" s="12"/>
    </row>
    <row r="10" spans="2:17" x14ac:dyDescent="0.25">
      <c r="B10" s="10"/>
      <c r="C10" s="16"/>
      <c r="D10" s="16"/>
      <c r="E10" s="16"/>
      <c r="F10" s="16"/>
      <c r="G10" s="16"/>
      <c r="H10" s="16"/>
      <c r="I10" s="16"/>
      <c r="J10" s="16"/>
      <c r="K10" s="16"/>
      <c r="L10" s="18"/>
      <c r="M10" s="18"/>
      <c r="N10" s="18"/>
      <c r="O10" s="18"/>
      <c r="P10" s="18"/>
      <c r="Q10" s="12"/>
    </row>
    <row r="11" spans="2:17" x14ac:dyDescent="0.25">
      <c r="B11" s="10"/>
      <c r="C11" s="16"/>
      <c r="D11" s="16"/>
      <c r="E11" s="16"/>
      <c r="F11" s="16"/>
      <c r="G11" s="16"/>
      <c r="H11" s="16"/>
      <c r="I11" s="16"/>
      <c r="J11" s="16"/>
      <c r="K11" s="16"/>
      <c r="L11" s="18"/>
      <c r="M11" s="18"/>
      <c r="N11" s="18"/>
      <c r="O11" s="18"/>
      <c r="P11" s="18"/>
      <c r="Q11" s="12"/>
    </row>
    <row r="12" spans="2:17" x14ac:dyDescent="0.25">
      <c r="B12" s="10"/>
      <c r="C12" s="16"/>
      <c r="D12" s="16"/>
      <c r="E12" s="16"/>
      <c r="F12" s="16"/>
      <c r="G12" s="16"/>
      <c r="H12" s="16"/>
      <c r="I12" s="16"/>
      <c r="J12" s="16"/>
      <c r="K12" s="16"/>
      <c r="L12" s="18"/>
      <c r="M12" s="18"/>
      <c r="N12" s="18"/>
      <c r="O12" s="18"/>
      <c r="P12" s="18"/>
      <c r="Q12" s="12"/>
    </row>
    <row r="13" spans="2:17" x14ac:dyDescent="0.25">
      <c r="B13" s="10"/>
      <c r="C13" s="16"/>
      <c r="D13" s="16"/>
      <c r="E13" s="16"/>
      <c r="F13" s="16"/>
      <c r="G13" s="16"/>
      <c r="H13" s="16"/>
      <c r="I13" s="16"/>
      <c r="J13" s="16"/>
      <c r="K13" s="16"/>
      <c r="L13" s="18"/>
      <c r="M13" s="18"/>
      <c r="N13" s="18"/>
      <c r="O13" s="18"/>
      <c r="P13" s="18"/>
      <c r="Q13" s="12"/>
    </row>
    <row r="14" spans="2:17" x14ac:dyDescent="0.25">
      <c r="B14" s="10"/>
      <c r="C14" s="16"/>
      <c r="D14" s="16"/>
      <c r="E14" s="16"/>
      <c r="F14" s="16"/>
      <c r="G14" s="16"/>
      <c r="H14" s="16"/>
      <c r="I14" s="16"/>
      <c r="J14" s="16"/>
      <c r="K14" s="16"/>
      <c r="L14" s="18"/>
      <c r="M14" s="18"/>
      <c r="N14" s="18"/>
      <c r="O14" s="18"/>
      <c r="P14" s="18"/>
      <c r="Q14" s="12"/>
    </row>
    <row r="15" spans="2:17" x14ac:dyDescent="0.25">
      <c r="B15" s="10"/>
      <c r="C15" s="16"/>
      <c r="D15" s="16"/>
      <c r="E15" s="16"/>
      <c r="F15" s="16"/>
      <c r="G15" s="16"/>
      <c r="H15" s="16"/>
      <c r="I15" s="16"/>
      <c r="J15" s="16"/>
      <c r="K15" s="16"/>
      <c r="L15" s="18"/>
      <c r="M15" s="18"/>
      <c r="N15" s="18"/>
      <c r="O15" s="18"/>
      <c r="P15" s="18"/>
      <c r="Q15" s="12"/>
    </row>
    <row r="16" spans="2:17" x14ac:dyDescent="0.25">
      <c r="B16" s="10"/>
      <c r="C16" s="16"/>
      <c r="D16" s="16"/>
      <c r="E16" s="16"/>
      <c r="F16" s="16"/>
      <c r="G16" s="16"/>
      <c r="H16" s="16"/>
      <c r="I16" s="16"/>
      <c r="J16" s="16"/>
      <c r="K16" s="16"/>
      <c r="L16" s="18"/>
      <c r="M16" s="18"/>
      <c r="N16" s="18"/>
      <c r="O16" s="18"/>
      <c r="P16" s="18"/>
      <c r="Q16" s="12"/>
    </row>
  </sheetData>
  <conditionalFormatting sqref="D6:P15 F16:P16">
    <cfRule type="expression" dxfId="6" priority="5">
      <formula>D$2&gt;0</formula>
    </cfRule>
  </conditionalFormatting>
  <conditionalFormatting sqref="C7:C16">
    <cfRule type="expression" dxfId="5" priority="4">
      <formula>C$2&gt;0</formula>
    </cfRule>
  </conditionalFormatting>
  <conditionalFormatting sqref="C6">
    <cfRule type="expression" dxfId="4" priority="3">
      <formula>C$2&gt;0</formula>
    </cfRule>
  </conditionalFormatting>
  <conditionalFormatting sqref="D16">
    <cfRule type="expression" dxfId="3" priority="2">
      <formula>D$2&gt;0</formula>
    </cfRule>
  </conditionalFormatting>
  <conditionalFormatting sqref="E16">
    <cfRule type="expression" dxfId="2" priority="1">
      <formula>E$2&gt;0</formula>
    </cfRule>
  </conditionalFormatting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"/>
  <dimension ref="B2:Q13"/>
  <sheetViews>
    <sheetView showGridLines="0" topLeftCell="H2" workbookViewId="0">
      <selection activeCell="N8" sqref="N8"/>
    </sheetView>
  </sheetViews>
  <sheetFormatPr defaultRowHeight="15" x14ac:dyDescent="0.25"/>
  <cols>
    <col min="2" max="2" width="23.85546875" customWidth="1"/>
    <col min="3" max="4" width="50.85546875" bestFit="1" customWidth="1"/>
    <col min="5" max="6" width="51.140625" bestFit="1" customWidth="1"/>
    <col min="7" max="8" width="55" bestFit="1" customWidth="1"/>
    <col min="9" max="16" width="18.140625" customWidth="1"/>
  </cols>
  <sheetData>
    <row r="2" spans="2:17" x14ac:dyDescent="0.25">
      <c r="B2" s="7" t="s">
        <v>1</v>
      </c>
      <c r="C2" s="8">
        <f t="array" ref="C2:P2">TRANSPOSE('Cat_YET List'!C3:C16)</f>
        <v>0</v>
      </c>
      <c r="D2" s="8">
        <v>0</v>
      </c>
      <c r="E2" s="8">
        <v>0</v>
      </c>
      <c r="F2" s="8">
        <v>0</v>
      </c>
      <c r="G2" s="8">
        <v>0</v>
      </c>
      <c r="H2" s="8">
        <v>0</v>
      </c>
      <c r="I2" s="8">
        <v>0</v>
      </c>
      <c r="J2" s="8">
        <v>0</v>
      </c>
      <c r="K2" s="8">
        <v>0</v>
      </c>
      <c r="L2" s="8">
        <v>0</v>
      </c>
      <c r="M2" s="8">
        <v>0</v>
      </c>
      <c r="N2" s="8">
        <v>0</v>
      </c>
      <c r="O2" s="8">
        <v>0</v>
      </c>
      <c r="P2" s="8">
        <v>0</v>
      </c>
    </row>
    <row r="4" spans="2:17" x14ac:dyDescent="0.25">
      <c r="C4" s="1" t="s">
        <v>3</v>
      </c>
    </row>
    <row r="5" spans="2:17" x14ac:dyDescent="0.25">
      <c r="B5" s="2" t="s">
        <v>4</v>
      </c>
      <c r="C5" s="9" t="str">
        <f t="array" ref="C5:P5">TRANSPOSE('Cat_YET List'!B3:B16)</f>
        <v>EQ.RMS.ELD.2</v>
      </c>
      <c r="D5" s="9" t="str">
        <v>EQ.RMS.ELD.4</v>
      </c>
      <c r="E5" s="9" t="str">
        <v>EQFF.RMS.ELD</v>
      </c>
      <c r="F5" s="9" t="str">
        <v>HULT.RMS.ELD</v>
      </c>
      <c r="G5" s="9" t="str">
        <v>HULT.RMS.ELD.3</v>
      </c>
      <c r="H5" s="9" t="str">
        <v>HULT.RMS.ELD.4</v>
      </c>
      <c r="I5" s="9" t="str">
        <v>SCS.RMS.ELD</v>
      </c>
      <c r="J5" s="9" t="str">
        <v>SCS.RMS.ELD.2</v>
      </c>
      <c r="K5" s="9" t="str">
        <v>SCS.RMS.ELD.3</v>
      </c>
      <c r="L5" s="11" t="str">
        <v>SCS.RMS.ELD.4</v>
      </c>
      <c r="M5" s="11" t="str">
        <v>NonStandardAuto_HU</v>
      </c>
      <c r="N5" s="11" t="str">
        <v>NonStandardAuto_SCS</v>
      </c>
      <c r="O5" s="11" t="str">
        <v>WC_EQ.1</v>
      </c>
      <c r="P5" s="11" t="str">
        <v>WC_EQ.2</v>
      </c>
      <c r="Q5" s="12"/>
    </row>
    <row r="6" spans="2:17" x14ac:dyDescent="0.25">
      <c r="B6" s="10" t="s">
        <v>5</v>
      </c>
      <c r="C6" s="16" t="str">
        <f>"Raw Data\"&amp;C$5&amp;"\Severities\"&amp;C$5&amp;"."&amp;ROW(C6)-5&amp;".txt"</f>
        <v>Raw Data\EQ.RMS.ELD.2\Severities\EQ.RMS.ELD.2.1.txt</v>
      </c>
      <c r="D6" s="16" t="str">
        <f t="shared" ref="D6:L10" si="0">"Raw Data\"&amp;D$5&amp;"\Severities\"&amp;D$5&amp;"."&amp;ROW(D6)-5&amp;".txt"</f>
        <v>Raw Data\EQ.RMS.ELD.4\Severities\EQ.RMS.ELD.4.1.txt</v>
      </c>
      <c r="E6" s="16" t="str">
        <f>"Raw Data\"&amp;E$5&amp;"\Severities\"&amp;E$5&amp;ROW(E6)-5&amp;".txt"</f>
        <v>Raw Data\EQFF.RMS.ELD\Severities\EQFF.RMS.ELD1.txt</v>
      </c>
      <c r="F6" s="16" t="str">
        <f>"Raw Data\"&amp;F$5&amp;"\Severities\"&amp;F$5&amp;ROW(F6)-5&amp;".txt"</f>
        <v>Raw Data\HULT.RMS.ELD\Severities\HULT.RMS.ELD1.txt</v>
      </c>
      <c r="G6" s="16" t="str">
        <f t="shared" si="0"/>
        <v>Raw Data\HULT.RMS.ELD.3\Severities\HULT.RMS.ELD.3.1.txt</v>
      </c>
      <c r="H6" s="16" t="str">
        <f t="shared" si="0"/>
        <v>Raw Data\HULT.RMS.ELD.4\Severities\HULT.RMS.ELD.4.1.txt</v>
      </c>
      <c r="I6" s="16" t="str">
        <f>"Raw Data\"&amp;I$5&amp;"\Severities\"&amp;I$5&amp;ROW(I6)-5&amp;".txt"</f>
        <v>Raw Data\SCS.RMS.ELD\Severities\SCS.RMS.ELD1.txt</v>
      </c>
      <c r="J6" s="16" t="str">
        <f t="shared" si="0"/>
        <v>Raw Data\SCS.RMS.ELD.2\Severities\SCS.RMS.ELD.2.1.txt</v>
      </c>
      <c r="K6" s="16" t="str">
        <f t="shared" si="0"/>
        <v>Raw Data\SCS.RMS.ELD.3\Severities\SCS.RMS.ELD.3.1.txt</v>
      </c>
      <c r="L6" s="16" t="str">
        <f t="shared" si="0"/>
        <v>Raw Data\SCS.RMS.ELD.4\Severities\SCS.RMS.ELD.4.1.txt</v>
      </c>
      <c r="M6" s="16"/>
      <c r="N6" s="16"/>
      <c r="O6" s="16"/>
      <c r="P6" s="16"/>
      <c r="Q6" s="12"/>
    </row>
    <row r="7" spans="2:17" x14ac:dyDescent="0.25">
      <c r="B7" s="10" t="s">
        <v>6</v>
      </c>
      <c r="C7" s="16" t="str">
        <f t="shared" ref="C7:C10" si="1">"Raw Data\"&amp;C$5&amp;"\Severities\"&amp;C$5&amp;"."&amp;ROW(C7)-5&amp;".txt"</f>
        <v>Raw Data\EQ.RMS.ELD.2\Severities\EQ.RMS.ELD.2.2.txt</v>
      </c>
      <c r="D7" s="16" t="str">
        <f t="shared" si="0"/>
        <v>Raw Data\EQ.RMS.ELD.4\Severities\EQ.RMS.ELD.4.2.txt</v>
      </c>
      <c r="E7" s="16" t="str">
        <f t="shared" ref="E7:F10" si="2">"Raw Data\"&amp;E$5&amp;"\Severities\"&amp;E$5&amp;ROW(E7)-5&amp;".txt"</f>
        <v>Raw Data\EQFF.RMS.ELD\Severities\EQFF.RMS.ELD2.txt</v>
      </c>
      <c r="F7" s="16" t="str">
        <f t="shared" si="2"/>
        <v>Raw Data\HULT.RMS.ELD\Severities\HULT.RMS.ELD2.txt</v>
      </c>
      <c r="G7" s="16" t="str">
        <f t="shared" si="0"/>
        <v>Raw Data\HULT.RMS.ELD.3\Severities\HULT.RMS.ELD.3.2.txt</v>
      </c>
      <c r="H7" s="16" t="str">
        <f t="shared" si="0"/>
        <v>Raw Data\HULT.RMS.ELD.4\Severities\HULT.RMS.ELD.4.2.txt</v>
      </c>
      <c r="I7" s="16" t="str">
        <f t="shared" ref="I7:I10" si="3">"Raw Data\"&amp;I$5&amp;"\Severities\"&amp;I$5&amp;ROW(I7)-5&amp;".txt"</f>
        <v>Raw Data\SCS.RMS.ELD\Severities\SCS.RMS.ELD2.txt</v>
      </c>
      <c r="J7" s="16" t="str">
        <f t="shared" si="0"/>
        <v>Raw Data\SCS.RMS.ELD.2\Severities\SCS.RMS.ELD.2.2.txt</v>
      </c>
      <c r="K7" s="16" t="str">
        <f t="shared" si="0"/>
        <v>Raw Data\SCS.RMS.ELD.3\Severities\SCS.RMS.ELD.3.2.txt</v>
      </c>
      <c r="L7" s="16" t="str">
        <f t="shared" si="0"/>
        <v>Raw Data\SCS.RMS.ELD.4\Severities\SCS.RMS.ELD.4.2.txt</v>
      </c>
      <c r="M7" s="16"/>
      <c r="N7" s="16"/>
      <c r="O7" s="16"/>
      <c r="P7" s="16"/>
      <c r="Q7" s="12"/>
    </row>
    <row r="8" spans="2:17" x14ac:dyDescent="0.25">
      <c r="B8" s="10" t="s">
        <v>7</v>
      </c>
      <c r="C8" s="16" t="str">
        <f t="shared" si="1"/>
        <v>Raw Data\EQ.RMS.ELD.2\Severities\EQ.RMS.ELD.2.3.txt</v>
      </c>
      <c r="D8" s="16" t="str">
        <f t="shared" si="0"/>
        <v>Raw Data\EQ.RMS.ELD.4\Severities\EQ.RMS.ELD.4.3.txt</v>
      </c>
      <c r="E8" s="16" t="str">
        <f t="shared" si="2"/>
        <v>Raw Data\EQFF.RMS.ELD\Severities\EQFF.RMS.ELD3.txt</v>
      </c>
      <c r="F8" s="16" t="str">
        <f t="shared" si="2"/>
        <v>Raw Data\HULT.RMS.ELD\Severities\HULT.RMS.ELD3.txt</v>
      </c>
      <c r="G8" s="16" t="str">
        <f t="shared" si="0"/>
        <v>Raw Data\HULT.RMS.ELD.3\Severities\HULT.RMS.ELD.3.3.txt</v>
      </c>
      <c r="H8" s="16" t="str">
        <f t="shared" si="0"/>
        <v>Raw Data\HULT.RMS.ELD.4\Severities\HULT.RMS.ELD.4.3.txt</v>
      </c>
      <c r="I8" s="16" t="str">
        <f t="shared" si="3"/>
        <v>Raw Data\SCS.RMS.ELD\Severities\SCS.RMS.ELD3.txt</v>
      </c>
      <c r="J8" s="16" t="str">
        <f t="shared" si="0"/>
        <v>Raw Data\SCS.RMS.ELD.2\Severities\SCS.RMS.ELD.2.3.txt</v>
      </c>
      <c r="K8" s="16" t="str">
        <f t="shared" si="0"/>
        <v>Raw Data\SCS.RMS.ELD.3\Severities\SCS.RMS.ELD.3.3.txt</v>
      </c>
      <c r="L8" s="16" t="str">
        <f t="shared" si="0"/>
        <v>Raw Data\SCS.RMS.ELD.4\Severities\SCS.RMS.ELD.4.3.txt</v>
      </c>
      <c r="M8" s="16"/>
      <c r="N8" s="16"/>
      <c r="O8" s="16"/>
      <c r="P8" s="16"/>
      <c r="Q8" s="12"/>
    </row>
    <row r="9" spans="2:17" x14ac:dyDescent="0.25">
      <c r="B9" s="10" t="s">
        <v>8</v>
      </c>
      <c r="C9" s="16" t="str">
        <f t="shared" si="1"/>
        <v>Raw Data\EQ.RMS.ELD.2\Severities\EQ.RMS.ELD.2.4.txt</v>
      </c>
      <c r="D9" s="16" t="str">
        <f t="shared" si="0"/>
        <v>Raw Data\EQ.RMS.ELD.4\Severities\EQ.RMS.ELD.4.4.txt</v>
      </c>
      <c r="E9" s="16" t="str">
        <f t="shared" si="2"/>
        <v>Raw Data\EQFF.RMS.ELD\Severities\EQFF.RMS.ELD4.txt</v>
      </c>
      <c r="F9" s="16" t="str">
        <f t="shared" si="2"/>
        <v>Raw Data\HULT.RMS.ELD\Severities\HULT.RMS.ELD4.txt</v>
      </c>
      <c r="G9" s="16" t="str">
        <f t="shared" si="0"/>
        <v>Raw Data\HULT.RMS.ELD.3\Severities\HULT.RMS.ELD.3.4.txt</v>
      </c>
      <c r="H9" s="16" t="str">
        <f t="shared" si="0"/>
        <v>Raw Data\HULT.RMS.ELD.4\Severities\HULT.RMS.ELD.4.4.txt</v>
      </c>
      <c r="I9" s="16" t="str">
        <f t="shared" si="3"/>
        <v>Raw Data\SCS.RMS.ELD\Severities\SCS.RMS.ELD4.txt</v>
      </c>
      <c r="J9" s="16" t="str">
        <f t="shared" si="0"/>
        <v>Raw Data\SCS.RMS.ELD.2\Severities\SCS.RMS.ELD.2.4.txt</v>
      </c>
      <c r="K9" s="16" t="str">
        <f t="shared" si="0"/>
        <v>Raw Data\SCS.RMS.ELD.3\Severities\SCS.RMS.ELD.3.4.txt</v>
      </c>
      <c r="L9" s="16" t="str">
        <f t="shared" si="0"/>
        <v>Raw Data\SCS.RMS.ELD.4\Severities\SCS.RMS.ELD.4.4.txt</v>
      </c>
      <c r="M9" s="16"/>
      <c r="N9" s="16"/>
      <c r="O9" s="16"/>
      <c r="P9" s="16"/>
      <c r="Q9" s="12"/>
    </row>
    <row r="10" spans="2:17" x14ac:dyDescent="0.25">
      <c r="B10" s="10" t="s">
        <v>9</v>
      </c>
      <c r="C10" s="16" t="str">
        <f t="shared" si="1"/>
        <v>Raw Data\EQ.RMS.ELD.2\Severities\EQ.RMS.ELD.2.5.txt</v>
      </c>
      <c r="D10" s="16" t="str">
        <f t="shared" si="0"/>
        <v>Raw Data\EQ.RMS.ELD.4\Severities\EQ.RMS.ELD.4.5.txt</v>
      </c>
      <c r="E10" s="16" t="str">
        <f t="shared" si="2"/>
        <v>Raw Data\EQFF.RMS.ELD\Severities\EQFF.RMS.ELD5.txt</v>
      </c>
      <c r="F10" s="16" t="str">
        <f t="shared" si="2"/>
        <v>Raw Data\HULT.RMS.ELD\Severities\HULT.RMS.ELD5.txt</v>
      </c>
      <c r="G10" s="16" t="str">
        <f t="shared" si="0"/>
        <v>Raw Data\HULT.RMS.ELD.3\Severities\HULT.RMS.ELD.3.5.txt</v>
      </c>
      <c r="H10" s="16" t="str">
        <f t="shared" si="0"/>
        <v>Raw Data\HULT.RMS.ELD.4\Severities\HULT.RMS.ELD.4.5.txt</v>
      </c>
      <c r="I10" s="16" t="str">
        <f t="shared" si="3"/>
        <v>Raw Data\SCS.RMS.ELD\Severities\SCS.RMS.ELD5.txt</v>
      </c>
      <c r="J10" s="16" t="str">
        <f t="shared" si="0"/>
        <v>Raw Data\SCS.RMS.ELD.2\Severities\SCS.RMS.ELD.2.5.txt</v>
      </c>
      <c r="K10" s="16" t="str">
        <f t="shared" si="0"/>
        <v>Raw Data\SCS.RMS.ELD.3\Severities\SCS.RMS.ELD.3.5.txt</v>
      </c>
      <c r="L10" s="16" t="str">
        <f t="shared" si="0"/>
        <v>Raw Data\SCS.RMS.ELD.4\Severities\SCS.RMS.ELD.4.5.txt</v>
      </c>
      <c r="M10" s="16"/>
      <c r="N10" s="16"/>
      <c r="O10" s="16"/>
      <c r="P10" s="16"/>
      <c r="Q10" s="12"/>
    </row>
    <row r="11" spans="2:17" x14ac:dyDescent="0.25">
      <c r="B11" s="10" t="s">
        <v>13</v>
      </c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 t="s">
        <v>17</v>
      </c>
      <c r="P11" s="16" t="s">
        <v>18</v>
      </c>
      <c r="Q11" s="12"/>
    </row>
    <row r="12" spans="2:17" x14ac:dyDescent="0.25">
      <c r="B12" s="10" t="s">
        <v>14</v>
      </c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 t="s">
        <v>19</v>
      </c>
      <c r="N12" s="16" t="s">
        <v>20</v>
      </c>
      <c r="O12" s="16"/>
      <c r="P12" s="16"/>
      <c r="Q12" s="12"/>
    </row>
    <row r="13" spans="2:17" x14ac:dyDescent="0.2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</row>
  </sheetData>
  <conditionalFormatting sqref="C11:D12 F11:P12 C6:P10">
    <cfRule type="expression" dxfId="1" priority="8">
      <formula>C$2&lt;1</formula>
    </cfRule>
  </conditionalFormatting>
  <conditionalFormatting sqref="E11:E12">
    <cfRule type="expression" dxfId="0" priority="4">
      <formula>E$2&lt;1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B2:L20"/>
  <sheetViews>
    <sheetView showGridLines="0" workbookViewId="0">
      <selection activeCell="B3" sqref="B3"/>
    </sheetView>
  </sheetViews>
  <sheetFormatPr defaultRowHeight="15" x14ac:dyDescent="0.25"/>
  <cols>
    <col min="2" max="2" width="37.140625" bestFit="1" customWidth="1"/>
    <col min="3" max="12" width="20.85546875" customWidth="1"/>
  </cols>
  <sheetData>
    <row r="2" spans="2:12" ht="30" x14ac:dyDescent="0.25">
      <c r="B2" s="41" t="s">
        <v>16</v>
      </c>
      <c r="C2" s="42" t="s">
        <v>129</v>
      </c>
      <c r="D2" s="42" t="s">
        <v>130</v>
      </c>
      <c r="E2" s="42" t="s">
        <v>131</v>
      </c>
      <c r="F2" s="42" t="s">
        <v>126</v>
      </c>
      <c r="G2" s="42" t="s">
        <v>125</v>
      </c>
      <c r="H2" s="42" t="s">
        <v>128</v>
      </c>
      <c r="I2" s="42" t="s">
        <v>127</v>
      </c>
      <c r="J2" s="42" t="s">
        <v>132</v>
      </c>
      <c r="K2" s="42" t="s">
        <v>133</v>
      </c>
      <c r="L2" s="43" t="s">
        <v>134</v>
      </c>
    </row>
    <row r="3" spans="2:12" x14ac:dyDescent="0.25">
      <c r="B3" s="40" t="s">
        <v>136</v>
      </c>
      <c r="C3" s="36">
        <v>10</v>
      </c>
      <c r="D3" s="36">
        <v>10</v>
      </c>
      <c r="E3" s="36">
        <v>10</v>
      </c>
      <c r="F3" s="36">
        <v>10</v>
      </c>
      <c r="G3" s="36">
        <v>10</v>
      </c>
      <c r="H3" s="36">
        <v>10</v>
      </c>
      <c r="I3" s="36">
        <v>10</v>
      </c>
      <c r="J3" s="36">
        <v>10</v>
      </c>
      <c r="K3" s="36">
        <v>10</v>
      </c>
      <c r="L3" s="37">
        <v>10</v>
      </c>
    </row>
    <row r="4" spans="2:12" x14ac:dyDescent="0.25">
      <c r="B4" s="30" t="s">
        <v>137</v>
      </c>
      <c r="C4" s="36">
        <v>10</v>
      </c>
      <c r="D4" s="36">
        <v>10</v>
      </c>
      <c r="E4" s="36">
        <v>10</v>
      </c>
      <c r="F4" s="36">
        <v>10</v>
      </c>
      <c r="G4" s="36">
        <v>10</v>
      </c>
      <c r="H4" s="36">
        <v>10</v>
      </c>
      <c r="I4" s="36">
        <v>10</v>
      </c>
      <c r="J4" s="36">
        <v>10</v>
      </c>
      <c r="K4" s="36">
        <v>10</v>
      </c>
      <c r="L4" s="37">
        <v>10</v>
      </c>
    </row>
    <row r="5" spans="2:12" x14ac:dyDescent="0.25">
      <c r="B5" s="30" t="s">
        <v>138</v>
      </c>
      <c r="C5" s="36">
        <v>10</v>
      </c>
      <c r="D5" s="36">
        <v>10</v>
      </c>
      <c r="E5" s="36">
        <v>10</v>
      </c>
      <c r="F5" s="36">
        <v>10</v>
      </c>
      <c r="G5" s="36">
        <v>10</v>
      </c>
      <c r="H5" s="36">
        <v>10</v>
      </c>
      <c r="I5" s="36">
        <v>10</v>
      </c>
      <c r="J5" s="36">
        <v>10</v>
      </c>
      <c r="K5" s="36">
        <v>10</v>
      </c>
      <c r="L5" s="37">
        <v>10</v>
      </c>
    </row>
    <row r="6" spans="2:12" x14ac:dyDescent="0.25">
      <c r="B6" s="30" t="s">
        <v>139</v>
      </c>
      <c r="C6" s="36">
        <v>10</v>
      </c>
      <c r="D6" s="36">
        <v>10</v>
      </c>
      <c r="E6" s="36">
        <v>10</v>
      </c>
      <c r="F6" s="36">
        <v>10</v>
      </c>
      <c r="G6" s="36">
        <v>10</v>
      </c>
      <c r="H6" s="36">
        <v>10</v>
      </c>
      <c r="I6" s="36">
        <v>10</v>
      </c>
      <c r="J6" s="36">
        <v>10</v>
      </c>
      <c r="K6" s="36">
        <v>10</v>
      </c>
      <c r="L6" s="37">
        <v>10</v>
      </c>
    </row>
    <row r="7" spans="2:12" x14ac:dyDescent="0.25">
      <c r="B7" s="30" t="s">
        <v>140</v>
      </c>
      <c r="C7" s="36">
        <v>10</v>
      </c>
      <c r="D7" s="36">
        <v>10</v>
      </c>
      <c r="E7" s="36">
        <v>10</v>
      </c>
      <c r="F7" s="36">
        <v>10</v>
      </c>
      <c r="G7" s="36">
        <v>10</v>
      </c>
      <c r="H7" s="36">
        <v>10</v>
      </c>
      <c r="I7" s="36">
        <v>10</v>
      </c>
      <c r="J7" s="36">
        <v>10</v>
      </c>
      <c r="K7" s="36">
        <v>10</v>
      </c>
      <c r="L7" s="37">
        <v>10</v>
      </c>
    </row>
    <row r="8" spans="2:12" x14ac:dyDescent="0.25">
      <c r="B8" s="30" t="s">
        <v>141</v>
      </c>
      <c r="C8" s="36">
        <v>10</v>
      </c>
      <c r="D8" s="36">
        <v>10</v>
      </c>
      <c r="E8" s="36">
        <v>10</v>
      </c>
      <c r="F8" s="36">
        <v>10</v>
      </c>
      <c r="G8" s="36">
        <v>10</v>
      </c>
      <c r="H8" s="36">
        <v>10</v>
      </c>
      <c r="I8" s="36">
        <v>10</v>
      </c>
      <c r="J8" s="36">
        <v>10</v>
      </c>
      <c r="K8" s="36">
        <v>10</v>
      </c>
      <c r="L8" s="37">
        <v>10</v>
      </c>
    </row>
    <row r="9" spans="2:12" x14ac:dyDescent="0.25">
      <c r="B9" s="30" t="s">
        <v>142</v>
      </c>
      <c r="C9" s="36">
        <v>10</v>
      </c>
      <c r="D9" s="36">
        <v>10</v>
      </c>
      <c r="E9" s="36">
        <v>10</v>
      </c>
      <c r="F9" s="36">
        <v>10</v>
      </c>
      <c r="G9" s="36">
        <v>10</v>
      </c>
      <c r="H9" s="36">
        <v>10</v>
      </c>
      <c r="I9" s="36">
        <v>10</v>
      </c>
      <c r="J9" s="36">
        <v>10</v>
      </c>
      <c r="K9" s="36">
        <v>10</v>
      </c>
      <c r="L9" s="37">
        <v>10</v>
      </c>
    </row>
    <row r="10" spans="2:12" x14ac:dyDescent="0.25">
      <c r="B10" s="30" t="s">
        <v>143</v>
      </c>
      <c r="C10" s="36">
        <v>10</v>
      </c>
      <c r="D10" s="36">
        <v>10</v>
      </c>
      <c r="E10" s="36">
        <v>10</v>
      </c>
      <c r="F10" s="36">
        <v>10</v>
      </c>
      <c r="G10" s="36">
        <v>10</v>
      </c>
      <c r="H10" s="36">
        <v>10</v>
      </c>
      <c r="I10" s="36">
        <v>10</v>
      </c>
      <c r="J10" s="36">
        <v>10</v>
      </c>
      <c r="K10" s="36">
        <v>10</v>
      </c>
      <c r="L10" s="37">
        <v>10</v>
      </c>
    </row>
    <row r="11" spans="2:12" x14ac:dyDescent="0.25">
      <c r="B11" s="30" t="s">
        <v>144</v>
      </c>
      <c r="C11" s="36">
        <v>10</v>
      </c>
      <c r="D11" s="36">
        <v>10</v>
      </c>
      <c r="E11" s="36">
        <v>10</v>
      </c>
      <c r="F11" s="36">
        <v>10</v>
      </c>
      <c r="G11" s="36">
        <v>10</v>
      </c>
      <c r="H11" s="36">
        <v>10</v>
      </c>
      <c r="I11" s="36">
        <v>10</v>
      </c>
      <c r="J11" s="36">
        <v>10</v>
      </c>
      <c r="K11" s="36">
        <v>10</v>
      </c>
      <c r="L11" s="37">
        <v>10</v>
      </c>
    </row>
    <row r="12" spans="2:12" x14ac:dyDescent="0.25">
      <c r="B12" s="30" t="s">
        <v>145</v>
      </c>
      <c r="C12" s="36">
        <v>10</v>
      </c>
      <c r="D12" s="36">
        <v>10</v>
      </c>
      <c r="E12" s="36">
        <v>10</v>
      </c>
      <c r="F12" s="36">
        <v>10</v>
      </c>
      <c r="G12" s="36">
        <v>10</v>
      </c>
      <c r="H12" s="36">
        <v>10</v>
      </c>
      <c r="I12" s="36">
        <v>10</v>
      </c>
      <c r="J12" s="36">
        <v>10</v>
      </c>
      <c r="K12" s="36">
        <v>10</v>
      </c>
      <c r="L12" s="37">
        <v>10</v>
      </c>
    </row>
    <row r="13" spans="2:12" x14ac:dyDescent="0.25">
      <c r="B13" s="30" t="s">
        <v>146</v>
      </c>
      <c r="C13" s="36">
        <v>10</v>
      </c>
      <c r="D13" s="36">
        <v>10</v>
      </c>
      <c r="E13" s="36">
        <v>10</v>
      </c>
      <c r="F13" s="36">
        <v>10</v>
      </c>
      <c r="G13" s="36">
        <v>10</v>
      </c>
      <c r="H13" s="36">
        <v>10</v>
      </c>
      <c r="I13" s="36">
        <v>10</v>
      </c>
      <c r="J13" s="36">
        <v>10</v>
      </c>
      <c r="K13" s="36">
        <v>10</v>
      </c>
      <c r="L13" s="37">
        <v>10</v>
      </c>
    </row>
    <row r="14" spans="2:12" x14ac:dyDescent="0.25">
      <c r="B14" s="30" t="s">
        <v>147</v>
      </c>
      <c r="C14" s="36">
        <v>10</v>
      </c>
      <c r="D14" s="36">
        <v>10</v>
      </c>
      <c r="E14" s="36">
        <v>10</v>
      </c>
      <c r="F14" s="36">
        <v>10</v>
      </c>
      <c r="G14" s="36">
        <v>10</v>
      </c>
      <c r="H14" s="36">
        <v>10</v>
      </c>
      <c r="I14" s="36">
        <v>10</v>
      </c>
      <c r="J14" s="36">
        <v>10</v>
      </c>
      <c r="K14" s="36">
        <v>10</v>
      </c>
      <c r="L14" s="37">
        <v>10</v>
      </c>
    </row>
    <row r="15" spans="2:12" x14ac:dyDescent="0.25">
      <c r="B15" s="30" t="s">
        <v>148</v>
      </c>
      <c r="C15" s="36">
        <v>10</v>
      </c>
      <c r="D15" s="36">
        <v>10</v>
      </c>
      <c r="E15" s="36">
        <v>10</v>
      </c>
      <c r="F15" s="36">
        <v>10</v>
      </c>
      <c r="G15" s="36">
        <v>10</v>
      </c>
      <c r="H15" s="36">
        <v>10</v>
      </c>
      <c r="I15" s="36">
        <v>10</v>
      </c>
      <c r="J15" s="36">
        <v>10</v>
      </c>
      <c r="K15" s="36">
        <v>10</v>
      </c>
      <c r="L15" s="37">
        <v>10</v>
      </c>
    </row>
    <row r="16" spans="2:12" x14ac:dyDescent="0.25">
      <c r="B16" s="30" t="s">
        <v>149</v>
      </c>
      <c r="C16" s="36">
        <v>10</v>
      </c>
      <c r="D16" s="36">
        <v>10</v>
      </c>
      <c r="E16" s="36">
        <v>10</v>
      </c>
      <c r="F16" s="36">
        <v>10</v>
      </c>
      <c r="G16" s="36">
        <v>10</v>
      </c>
      <c r="H16" s="36">
        <v>10</v>
      </c>
      <c r="I16" s="36">
        <v>10</v>
      </c>
      <c r="J16" s="36">
        <v>10</v>
      </c>
      <c r="K16" s="36">
        <v>10</v>
      </c>
      <c r="L16" s="37">
        <v>10</v>
      </c>
    </row>
    <row r="17" spans="2:12" x14ac:dyDescent="0.25">
      <c r="B17" s="30" t="s">
        <v>150</v>
      </c>
      <c r="C17" s="36">
        <v>10</v>
      </c>
      <c r="D17" s="36">
        <v>10</v>
      </c>
      <c r="E17" s="36">
        <v>10</v>
      </c>
      <c r="F17" s="36">
        <v>10</v>
      </c>
      <c r="G17" s="36">
        <v>10</v>
      </c>
      <c r="H17" s="36">
        <v>10</v>
      </c>
      <c r="I17" s="36">
        <v>10</v>
      </c>
      <c r="J17" s="36">
        <v>10</v>
      </c>
      <c r="K17" s="36">
        <v>10</v>
      </c>
      <c r="L17" s="37">
        <v>10</v>
      </c>
    </row>
    <row r="18" spans="2:12" x14ac:dyDescent="0.25">
      <c r="B18" s="30" t="s">
        <v>151</v>
      </c>
      <c r="C18" s="36">
        <v>10</v>
      </c>
      <c r="D18" s="36">
        <v>10</v>
      </c>
      <c r="E18" s="36">
        <v>10</v>
      </c>
      <c r="F18" s="36">
        <v>10</v>
      </c>
      <c r="G18" s="36">
        <v>10</v>
      </c>
      <c r="H18" s="36">
        <v>10</v>
      </c>
      <c r="I18" s="36">
        <v>10</v>
      </c>
      <c r="J18" s="36">
        <v>10</v>
      </c>
      <c r="K18" s="36">
        <v>10</v>
      </c>
      <c r="L18" s="37">
        <v>10</v>
      </c>
    </row>
    <row r="19" spans="2:12" x14ac:dyDescent="0.25">
      <c r="B19" s="30" t="s">
        <v>152</v>
      </c>
      <c r="C19" s="36">
        <v>10</v>
      </c>
      <c r="D19" s="36">
        <v>10</v>
      </c>
      <c r="E19" s="36">
        <v>10</v>
      </c>
      <c r="F19" s="36">
        <v>10</v>
      </c>
      <c r="G19" s="36">
        <v>10</v>
      </c>
      <c r="H19" s="36">
        <v>10</v>
      </c>
      <c r="I19" s="36">
        <v>10</v>
      </c>
      <c r="J19" s="36">
        <v>10</v>
      </c>
      <c r="K19" s="36">
        <v>10</v>
      </c>
      <c r="L19" s="37">
        <v>10</v>
      </c>
    </row>
    <row r="20" spans="2:12" x14ac:dyDescent="0.25">
      <c r="B20" s="30" t="s">
        <v>153</v>
      </c>
      <c r="C20" s="38">
        <v>10</v>
      </c>
      <c r="D20" s="38">
        <v>10</v>
      </c>
      <c r="E20" s="38">
        <v>10</v>
      </c>
      <c r="F20" s="38">
        <v>10</v>
      </c>
      <c r="G20" s="38">
        <v>10</v>
      </c>
      <c r="H20" s="38">
        <v>10</v>
      </c>
      <c r="I20" s="38">
        <v>10</v>
      </c>
      <c r="J20" s="38">
        <v>10</v>
      </c>
      <c r="K20" s="38">
        <v>10</v>
      </c>
      <c r="L20" s="39">
        <v>10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25</vt:i4>
      </vt:variant>
    </vt:vector>
  </HeadingPairs>
  <TitlesOfParts>
    <vt:vector size="39" baseType="lpstr">
      <vt:lpstr>Lookups</vt:lpstr>
      <vt:lpstr>RUN</vt:lpstr>
      <vt:lpstr>Presimulated Inputs</vt:lpstr>
      <vt:lpstr>Presimulated Aggregate Classes</vt:lpstr>
      <vt:lpstr>YieldCurve</vt:lpstr>
      <vt:lpstr>PaymentPattern</vt:lpstr>
      <vt:lpstr>NonCat_Input List</vt:lpstr>
      <vt:lpstr>NonCat_MarketCorrelation</vt:lpstr>
      <vt:lpstr>Cat_YET List</vt:lpstr>
      <vt:lpstr>Cat_AIR Frequency List</vt:lpstr>
      <vt:lpstr>Cat_RMS Frequency List</vt:lpstr>
      <vt:lpstr>Cat_AIR Severity List</vt:lpstr>
      <vt:lpstr>Cat_RMS Severity List</vt:lpstr>
      <vt:lpstr>Plan</vt:lpstr>
      <vt:lpstr>'Cat_AIR Frequency List'!AIRFrequencyInputs</vt:lpstr>
      <vt:lpstr>AIRSeverityInputs</vt:lpstr>
      <vt:lpstr>BasisPeriod</vt:lpstr>
      <vt:lpstr>CatLoss_PaymentPattern</vt:lpstr>
      <vt:lpstr>CatRIP_PaymentPattern</vt:lpstr>
      <vt:lpstr>Commission_PaymentPattern</vt:lpstr>
      <vt:lpstr>FilePathNames</vt:lpstr>
      <vt:lpstr>FixedExp_PaymentPattern</vt:lpstr>
      <vt:lpstr>InwardsMethod</vt:lpstr>
      <vt:lpstr>LoBMapping</vt:lpstr>
      <vt:lpstr>ModellingUnit</vt:lpstr>
      <vt:lpstr>NonCatInputs</vt:lpstr>
      <vt:lpstr>NonCatLoss_PaymentPattern</vt:lpstr>
      <vt:lpstr>NonCatMarketCorrelationLowerTriangle</vt:lpstr>
      <vt:lpstr>NonCatRIP_PaymentPattern</vt:lpstr>
      <vt:lpstr>NumSims</vt:lpstr>
      <vt:lpstr>OutputFilepath</vt:lpstr>
      <vt:lpstr>PlanForScaling</vt:lpstr>
      <vt:lpstr>Premium_PaymentPattern</vt:lpstr>
      <vt:lpstr>'Cat_RMS Frequency List'!RMSFrequencyInputs</vt:lpstr>
      <vt:lpstr>RMSSeverityInputs</vt:lpstr>
      <vt:lpstr>ScaleToPlan</vt:lpstr>
      <vt:lpstr>YearSelection</vt:lpstr>
      <vt:lpstr>YETInputs</vt:lpstr>
      <vt:lpstr>YieldCurve</vt:lpstr>
    </vt:vector>
  </TitlesOfParts>
  <Company>RPC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Teo, Wee Shen - RPC Consulting</dc:creator>
  <cp:lastModifiedBy>Reynolds, Theo</cp:lastModifiedBy>
  <dcterms:created xsi:type="dcterms:W3CDTF">2018-04-19T08:47:40Z</dcterms:created>
  <dcterms:modified xsi:type="dcterms:W3CDTF">2022-06-01T13:28:07Z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{2E1F6801-454E-4B59-9D6A-3E04F5278E0C}</vt:lpwstr>
  </property>
  <property fmtid="{D5CDD505-2E9C-101B-9397-08002B2CF9AE}" pid="3" name="SV_QUERY_LIST_4F35BF76-6C0D-4D9B-82B2-816C12CF3733">
    <vt:lpwstr>empty_477D106A-C0D6-4607-AEBD-E2C9D60EA279</vt:lpwstr>
  </property>
  <property fmtid="{D5CDD505-2E9C-101B-9397-08002B2CF9AE}" pid="4" name="SV_HIDDEN_GRID_QUERY_LIST_4F35BF76-6C0D-4D9B-82B2-816C12CF3733">
    <vt:lpwstr>empty_477D106A-C0D6-4607-AEBD-E2C9D60EA279</vt:lpwstr>
  </property>
</Properties>
</file>